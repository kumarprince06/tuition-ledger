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Work Breakdown" sheetId="3" state="visible" r:id="rId5"/>
    <sheet name="How to use" sheetId="4" state="visible" r:id="rId6"/>
  </sheets>
  <definedNames>
    <definedName function="false" hidden="true" localSheetId="2" name="_xlnm._FilterDatabase" vbProcedure="false">'Work Breakdown'!$A$1:$S$122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estimate</author>
  </authors>
  <commentList>
    <comment ref="L1" authorId="0">
      <text>
        <r>
          <rPr>
            <sz val="10"/>
            <rFont val="Arial"/>
            <family val="2"/>
          </rPr>
          <t xml:space="preserve">Base size from docs/09-sprint-plan.md (hd = half-day). NEW-xx and split rows are estimates added in this sheet.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37</xdr:colOff>
                <xdr:row>0</xdr:row>
                <xdr:rowOff>2</xdr:rowOff>
              </xdr:from>
              <xdr:to>
                <xdr:col>2</xdr:col>
                <xdr:colOff>105</xdr:colOff>
                <xdr:row>2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<sst xmlns="http://schemas.openxmlformats.org/spreadsheetml/2006/main" count="1705" uniqueCount="719">
  <si>
    <t xml:space="preserve">Tuition Ledger — work estimate</t>
  </si>
  <si>
    <t xml:space="preserve">Source of truth: 'Work Breakdown'. Edit Base (hd), Risk, Owner, Status there and capacity/contingency in 'Assumptions'.</t>
  </si>
  <si>
    <t xml:space="preserve">Headline</t>
  </si>
  <si>
    <t xml:space="preserve">Scope</t>
  </si>
  <si>
    <t xml:space="preserve">Base (hd)</t>
  </si>
  <si>
    <t xml:space="preserve">Estimate (hd)</t>
  </si>
  <si>
    <t xml:space="preserve">Estimate (hours)</t>
  </si>
  <si>
    <t xml:space="preserve">Person-days</t>
  </si>
  <si>
    <t xml:space="preserve">Done (hd)</t>
  </si>
  <si>
    <t xml:space="preserve">% done</t>
  </si>
  <si>
    <t xml:space="preserve">MVP</t>
  </si>
  <si>
    <t xml:space="preserve">Backlog</t>
  </si>
  <si>
    <t xml:space="preserve">MVP by role</t>
  </si>
  <si>
    <t xml:space="preserve">Role</t>
  </si>
  <si>
    <t xml:space="preserve">Capacity / sprint (hd)</t>
  </si>
  <si>
    <t xml:space="preserve">Sprints needed</t>
  </si>
  <si>
    <t xml:space="preserve">Weeks needed</t>
  </si>
  <si>
    <t xml:space="preserve">BE</t>
  </si>
  <si>
    <t xml:space="preserve">FE</t>
  </si>
  <si>
    <t xml:space="preserve">QA</t>
  </si>
  <si>
    <t xml:space="preserve">PM</t>
  </si>
  <si>
    <t xml:space="preserve">Critical path (longest role)</t>
  </si>
  <si>
    <t xml:space="preserve">MVP load per sprint vs capacity (estimate hd incl. contingency)</t>
  </si>
  <si>
    <t xml:space="preserve">Sprint</t>
  </si>
  <si>
    <t xml:space="preserve">BE capacity</t>
  </si>
  <si>
    <t xml:space="preserve">BE load %</t>
  </si>
  <si>
    <t xml:space="preserve">FE capacity</t>
  </si>
  <si>
    <t xml:space="preserve">FE load %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</si>
  <si>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</si>
  <si>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</si>
  <si>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</si>
  <si>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</si>
  <si>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</si>
  <si>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Over 100% = that sprint is overloaded; move FE rows to the next sprint or add capacity in Assumptions.</t>
  </si>
  <si>
    <t xml:space="preserve">MVP by phase (build order)</t>
  </si>
  <si>
    <t xml:space="preserve">Phase</t>
  </si>
  <si>
    <t xml:space="preserve">BE (hd)</t>
  </si>
  <si>
    <t xml:space="preserve">FE (hd)</t>
  </si>
  <si>
    <t xml:space="preserve">QA + PM (hd)</t>
  </si>
  <si>
    <t xml:space="preserve">Total estimate (hd)</t>
  </si>
  <si>
    <t xml:space="preserve">Hours</t>
  </si>
  <si>
    <t xml:space="preserve">P0 Project setup</t>
  </si>
  <si>
    <t xml:space="preserve">P1 Tenant provisioning</t>
  </si>
  <si>
    <t xml:space="preserve">P2 Authentication &amp; roles</t>
  </si>
  <si>
    <t xml:space="preserve">P3 Batches &amp; sessions</t>
  </si>
  <si>
    <t xml:space="preserve">P4 Students &amp; enrolments</t>
  </si>
  <si>
    <t xml:space="preserve">P5 Attendance</t>
  </si>
  <si>
    <t xml:space="preserve">P6 Fee engine</t>
  </si>
  <si>
    <t xml:space="preserve">P7 Ledger &amp; payments</t>
  </si>
  <si>
    <t xml:space="preserve">P8 WhatsApp messaging</t>
  </si>
  <si>
    <t xml:space="preserve">P9 Online payments</t>
  </si>
  <si>
    <t xml:space="preserve">P10 Reminders &amp; digests</t>
  </si>
  <si>
    <t xml:space="preserve">P11 Dashboard, reports &amp; settings</t>
  </si>
  <si>
    <t xml:space="preserve">P12 Calendar &amp; rescheduling</t>
  </si>
  <si>
    <t xml:space="preserve">P13 Go-live (Gate 2)</t>
  </si>
  <si>
    <t xml:space="preserve">P14 Tests &amp; results</t>
  </si>
  <si>
    <t xml:space="preserve">P15 Plans &amp; billing</t>
  </si>
  <si>
    <t xml:space="preserve">P16 Hardening &amp; Gate 3</t>
  </si>
  <si>
    <t xml:space="preserve">Total MVP</t>
  </si>
  <si>
    <t xml:space="preserve">Gates</t>
  </si>
  <si>
    <t xml:space="preserve">G1 (end S2): September re-entered and the statement balances</t>
  </si>
  <si>
    <t xml:space="preserve">G2 (end S4): one live fee cycle, zero duplicate payments</t>
  </si>
  <si>
    <t xml:space="preserve">G3 (end S5): first paid invoice</t>
  </si>
  <si>
    <t xml:space="preserve">Estimation assumptions (edit blue cells; everything else recalculates)</t>
  </si>
  <si>
    <t xml:space="preserve">Hours per half-day (hd)</t>
  </si>
  <si>
    <t xml:space="preserve">1 hd = half a working day, as used in docs/09-sprint-plan.md</t>
  </si>
  <si>
    <t xml:space="preserve">Working days per sprint</t>
  </si>
  <si>
    <t xml:space="preserve">Two-week sprints (docs/09)</t>
  </si>
  <si>
    <t xml:space="preserve">Backend devs</t>
  </si>
  <si>
    <t xml:space="preserve">docs/09 capacity assumption: one backend developer</t>
  </si>
  <si>
    <t xml:space="preserve">Frontend devs</t>
  </si>
  <si>
    <t xml:space="preserve">docs/09: one part-time frontend developer</t>
  </si>
  <si>
    <t xml:space="preserve">Frontend allocation (fraction of full time)</t>
  </si>
  <si>
    <t xml:space="preserve">Part-time ≈ 8 hd per sprint, matching docs/09 FE totals</t>
  </si>
  <si>
    <t xml:space="preserve">QA hd per sprint</t>
  </si>
  <si>
    <t xml:space="preserve">Shared QA (docs/09)</t>
  </si>
  <si>
    <t xml:space="preserve">PM hd per sprint</t>
  </si>
  <si>
    <t xml:space="preserve">Shared PM (docs/09)</t>
  </si>
  <si>
    <t xml:space="preserve">Contingency by risk</t>
  </si>
  <si>
    <t xml:space="preserve">Risk</t>
  </si>
  <si>
    <t xml:space="preserve">Contingency %</t>
  </si>
  <si>
    <t xml:space="preserve">Meaning</t>
  </si>
  <si>
    <t xml:space="preserve">N</t>
  </si>
  <si>
    <t xml:space="preserve">None — reserved capacity or fixed admin task</t>
  </si>
  <si>
    <t xml:space="preserve">L</t>
  </si>
  <si>
    <t xml:space="preserve">Low — CRUD / screens with a clear pattern</t>
  </si>
  <si>
    <t xml:space="preserve">M</t>
  </si>
  <si>
    <t xml:space="preserve">Medium — some unknowns, moderate integration</t>
  </si>
  <si>
    <t xml:space="preserve">H</t>
  </si>
  <si>
    <t xml:space="preserve">High — money correctness, concurrency, external providers, approvals</t>
  </si>
  <si>
    <t xml:space="preserve">Capacity per sprint (hd)</t>
  </si>
  <si>
    <t xml:space="preserve">Seq</t>
  </si>
  <si>
    <t xml:space="preserve">Feature</t>
  </si>
  <si>
    <t xml:space="preserve">Task ID</t>
  </si>
  <si>
    <t xml:space="preserve">Task</t>
  </si>
  <si>
    <t xml:space="preserve">Depends on</t>
  </si>
  <si>
    <t xml:space="preserve">SRS</t>
  </si>
  <si>
    <t xml:space="preserve">Design ref</t>
  </si>
  <si>
    <t xml:space="preserve">Owner</t>
  </si>
  <si>
    <t xml:space="preserve">Status</t>
  </si>
  <si>
    <t xml:space="preserve">Done when</t>
  </si>
  <si>
    <t xml:space="preserve">Monorepo</t>
  </si>
  <si>
    <t xml:space="preserve">NEW-01</t>
  </si>
  <si>
    <t xml:space="preserve">Monorepo layout in this repo: /backend, /frontend, /infra; JDK 21 required; root Makefile (up, down, seed, test); .editorconfig; dev-setup section in README</t>
  </si>
  <si>
    <t xml:space="preserve">—</t>
  </si>
  <si>
    <t xml:space="preserve">03 §2</t>
  </si>
  <si>
    <t xml:space="preserve">Not started</t>
  </si>
  <si>
    <t xml:space="preserve">Fresh clone + `make up` works from README steps</t>
  </si>
  <si>
    <t xml:space="preserve">Backend skeleton</t>
  </si>
  <si>
    <t xml:space="preserve">S1-01</t>
  </si>
  <si>
    <t xml:space="preserve">Backend: Maven (wrapper), Java 21, Spring Boot 4.1, Spring Modulith with 9 modules + shared kernel and ModularityTests</t>
  </si>
  <si>
    <t xml:space="preserve">04 §0</t>
  </si>
  <si>
    <t xml:space="preserve">Done</t>
  </si>
  <si>
    <t xml:space="preserve">`./mvnw test` passes ModularityTests</t>
  </si>
  <si>
    <t xml:space="preserve">Frontend skeleton</t>
  </si>
  <si>
    <t xml:space="preserve">S1-13a</t>
  </si>
  <si>
    <t xml:space="preserve">Frontend: Vite + React 18 + TypeScript strict, ESLint/Prettier, Vitest + Testing Library, React Router, TanStack Query, folder-per-feature (split from S1-13)</t>
  </si>
  <si>
    <t xml:space="preserve">04 §12, ADR-0014</t>
  </si>
  <si>
    <t xml:space="preserve">`npm run lint`, `test`, `build` all green</t>
  </si>
  <si>
    <t xml:space="preserve">Config</t>
  </si>
  <si>
    <t xml:space="preserve">NEW-02</t>
  </si>
  <si>
    <t xml:space="preserve">Environment config: Spring profiles dev/test/prod, .env.example, Vite env vars, no secrets in git</t>
  </si>
  <si>
    <t xml:space="preserve">11</t>
  </si>
  <si>
    <t xml:space="preserve">In progress</t>
  </si>
  <si>
    <t xml:space="preserve">App boots from .env.example values</t>
  </si>
  <si>
    <t xml:space="preserve">Local stack</t>
  </si>
  <si>
    <t xml:space="preserve">S1-02</t>
  </si>
  <si>
    <t xml:space="preserve">Docker Compose: app, Postgres 16, Redis, Prometheus, Grafana, WhatsApp fake UI; Vite dev proxy to API</t>
  </si>
  <si>
    <t xml:space="preserve">`make up` brings the stack; /actuator/health green</t>
  </si>
  <si>
    <t xml:space="preserve">CI</t>
  </si>
  <si>
    <t xml:space="preserve">NEW-03</t>
  </si>
  <si>
    <t xml:space="preserve">GitHub Actions: backend `./mvnw verify` (Testcontainers), frontend lint + test + build, path filters; set both as required checks on protect-main</t>
  </si>
  <si>
    <t xml:space="preserve">S1-01, S1-13a</t>
  </si>
  <si>
    <t xml:space="preserve">13</t>
  </si>
  <si>
    <t xml:space="preserve">PR shows both checks; merge blocked when red</t>
  </si>
  <si>
    <t xml:space="preserve">Shared kernel</t>
  </si>
  <si>
    <t xml:space="preserve">S1-04</t>
  </si>
  <si>
    <t xml:space="preserve">Shared kernel: Money, ULID Ids, Clock, TenantContext, CentreTime, problem-details handler, ArchUnit no-float rule</t>
  </si>
  <si>
    <t xml:space="preserve">NFR-7</t>
  </si>
  <si>
    <t xml:space="preserve">04 §1, §11</t>
  </si>
  <si>
    <t xml:space="preserve">Unit tests; ArchUnit rule green</t>
  </si>
  <si>
    <t xml:space="preserve">API client</t>
  </si>
  <si>
    <t xml:space="preserve">S1-13b</t>
  </si>
  <si>
    <t xml:space="preserve">OpenAPI → TypeScript client generation script; CI fails if openapi.yaml changed without regenerating (split from S1-13)</t>
  </si>
  <si>
    <t xml:space="preserve">S1-13a, NEW-03</t>
  </si>
  <si>
    <t xml:space="preserve">06, ADR-0014</t>
  </si>
  <si>
    <t xml:space="preserve">Drift check fails CI on purpose-made mismatch</t>
  </si>
  <si>
    <t xml:space="preserve">Design system</t>
  </si>
  <si>
    <t xml:space="preserve">S1-13c</t>
  </si>
  <si>
    <t xml:space="preserve">Design tokens + base components: button, input, form field with server errors, list/table, money formatter with tabular numerals (split from S1-13)</t>
  </si>
  <si>
    <t xml:space="preserve">NFR-6</t>
  </si>
  <si>
    <t xml:space="preserve">04 §12</t>
  </si>
  <si>
    <t xml:space="preserve">Components render at 360 px</t>
  </si>
  <si>
    <t xml:space="preserve">Ops baseline</t>
  </si>
  <si>
    <t xml:space="preserve">S1-16</t>
  </si>
  <si>
    <t xml:space="preserve">Nightly pg_dump to object storage, restore script, Uptime Kuma, Grafana v0, alert to phone on health down</t>
  </si>
  <si>
    <t xml:space="preserve">NFR-4</t>
  </si>
  <si>
    <t xml:space="preserve">12</t>
  </si>
  <si>
    <t xml:space="preserve">Restore into a fresh container demonstrated and logged</t>
  </si>
  <si>
    <t xml:space="preserve">Schema</t>
  </si>
  <si>
    <t xml:space="preserve">S1-03</t>
  </si>
  <si>
    <t xml:space="preserve">Flyway baseline tenant tables (centres, users, settings, audit_log, batches, sessions, students, enrolments, attendance, holidays) with RLS policies and tl_app grants</t>
  </si>
  <si>
    <t xml:space="preserve">05</t>
  </si>
  <si>
    <t xml:space="preserve">Migrations idempotent; UPDATE on audit_log fails in a test</t>
  </si>
  <si>
    <t xml:space="preserve">Centre creation</t>
  </si>
  <si>
    <t xml:space="preserve">NEW-04</t>
  </si>
  <si>
    <t xml:space="preserve">Centre provisioning: platform-admin endpoint + CLI command creating centre, owner user and default settings; validates CEN-1 fields (timezone, due day, quiet hours, receipt prefix)</t>
  </si>
  <si>
    <t xml:space="preserve">S1-03, S1-04</t>
  </si>
  <si>
    <t xml:space="preserve">CEN-1, PLT-1</t>
  </si>
  <si>
    <t xml:space="preserve">04 §2, 07</t>
  </si>
  <si>
    <t xml:space="preserve">New centre + owner created in one call; invalid prefix rejected</t>
  </si>
  <si>
    <t xml:space="preserve">Isolation</t>
  </si>
  <si>
    <t xml:space="preserve">S1-07</t>
  </si>
  <si>
    <t xml:space="preserve">Tenant isolation: Hibernate filter, @TenantScoped, SET LOCAL app.centre_id, entity-scan test, native-query allow-list</t>
  </si>
  <si>
    <t xml:space="preserve">S1-03, NEW-04</t>
  </si>
  <si>
    <t xml:space="preserve">NFR-8</t>
  </si>
  <si>
    <t xml:space="preserve">03 §4</t>
  </si>
  <si>
    <t xml:space="preserve">Two centres: every repository returns own rows only; RLS blocks raw query</t>
  </si>
  <si>
    <t xml:space="preserve">Auth API</t>
  </si>
  <si>
    <t xml:space="preserve">S1-05</t>
  </si>
  <si>
    <t xml:space="preserve">OTP via WhatsApp (Redis), JWT + refresh rotation with reuse detection, /auth/*, /me, invite / change role / deactivate users</t>
  </si>
  <si>
    <t xml:space="preserve">CEN-2, CEN-4</t>
  </si>
  <si>
    <t xml:space="preserve">04 §2</t>
  </si>
  <si>
    <t xml:space="preserve">OTP expiry, 3-attempt lock, rotation tests; deactivated user → 401 within 60 s</t>
  </si>
  <si>
    <t xml:space="preserve">Permissions</t>
  </si>
  <si>
    <t xml:space="preserve">S1-06</t>
  </si>
  <si>
    <t xml:space="preserve">Permission enum, role matrix from 07, @PreAuthorize wiring, teacher batch scoping, matrix-equality test</t>
  </si>
  <si>
    <t xml:space="preserve">CEN-3</t>
  </si>
  <si>
    <t xml:space="preserve">04 §2, 07 §1</t>
  </si>
  <si>
    <t xml:space="preserve">Every (role, permission) matches 07; teacher on other batch → 403</t>
  </si>
  <si>
    <t xml:space="preserve">Audit</t>
  </si>
  <si>
    <t xml:space="preserve">S1-11</t>
  </si>
  <si>
    <t xml:space="preserve">Audit aspect and /audit endpoint</t>
  </si>
  <si>
    <t xml:space="preserve">NFR-5</t>
  </si>
  <si>
    <t xml:space="preserve">Settings change writes before/after audit row</t>
  </si>
  <si>
    <t xml:space="preserve">Login UI</t>
  </si>
  <si>
    <t xml:space="preserve">S1-13d</t>
  </si>
  <si>
    <t xml:space="preserve">FE login: phone, OTP, resend timer, error states, token storage and silent refresh (split from S1-13)</t>
  </si>
  <si>
    <t xml:space="preserve">S1-05, S1-13b, S1-13c</t>
  </si>
  <si>
    <t xml:space="preserve">CEN-2</t>
  </si>
  <si>
    <t xml:space="preserve">06</t>
  </si>
  <si>
    <t xml:space="preserve">Login on 360 px; refresh invisible to the user</t>
  </si>
  <si>
    <t xml:space="preserve">App shell</t>
  </si>
  <si>
    <t xml:space="preserve">S1-13e</t>
  </si>
  <si>
    <t xml:space="preserve">FE app shell: role-based navigation, route guards, 401/403 pages (split from S1-13)</t>
  </si>
  <si>
    <t xml:space="preserve">S1-13d, S1-06</t>
  </si>
  <si>
    <t xml:space="preserve">Teacher sees only teacher menu</t>
  </si>
  <si>
    <t xml:space="preserve">Staff UI</t>
  </si>
  <si>
    <t xml:space="preserve">NEW-05</t>
  </si>
  <si>
    <t xml:space="preserve">FE staff management: list, invite, change role, deactivate</t>
  </si>
  <si>
    <t xml:space="preserve">CEN-4</t>
  </si>
  <si>
    <t xml:space="preserve">07 §1</t>
  </si>
  <si>
    <t xml:space="preserve">Invite → staff can log in; deactivate → logged out</t>
  </si>
  <si>
    <t xml:space="preserve">Self-serve signup</t>
  </si>
  <si>
    <t xml:space="preserve">NEW-10</t>
  </si>
  <si>
    <t xml:space="preserve">Registration API: POST /signup/otp + /signup (centre name, owner, email, WhatsApp number, password), OTP before any row, unique phone/email, 3 per phone/email/IP per day, 30-day trial; reuses NEW-04 provisioning</t>
  </si>
  <si>
    <t xml:space="preserve">NEW-04, S1-05</t>
  </si>
  <si>
    <t xml:space="preserve">CEN-6</t>
  </si>
  <si>
    <t xml:space="preserve">ADR-0018, 06</t>
  </si>
  <si>
    <t xml:space="preserve">No centre row before OTP; duplicate phone/email refused; 4th signup per IP → 429</t>
  </si>
  <si>
    <t xml:space="preserve">Email + password</t>
  </si>
  <si>
    <t xml:space="preserve">NEW-11</t>
  </si>
  <si>
    <t xml:space="preserve">Email + password sign-in: POST /auth/login, Argon2id, common-password list, 5-failure lock + WhatsApp notice, email verification, forgot/reset (email link or WhatsApp code), PATCH /me/credentials; transactional email provider</t>
  </si>
  <si>
    <t xml:space="preserve">CEN-2, CEN-8</t>
  </si>
  <si>
    <t xml:space="preserve">ADR-0019, 11</t>
  </si>
  <si>
    <t xml:space="preserve">Lock after 5 failures; used reset link refused; sessions revoked on reset</t>
  </si>
  <si>
    <t xml:space="preserve">Signup + login UI</t>
  </si>
  <si>
    <t xml:space="preserve">NEW-12</t>
  </si>
  <si>
    <t xml:space="preserve">FE registration + OTP step, sign-in by WhatsApp code or email + password, forgot/reset screens, My account sign-in methods</t>
  </si>
  <si>
    <t xml:space="preserve">NEW-10, NEW-11, S1-13d</t>
  </si>
  <si>
    <t xml:space="preserve">CEN-2, CEN-6, CEN-8</t>
  </si>
  <si>
    <t xml:space="preserve">design/prototype.html</t>
  </si>
  <si>
    <t xml:space="preserve">Both sign-in methods land on the same role; screens match the prototype</t>
  </si>
  <si>
    <t xml:space="preserve">Batches API</t>
  </si>
  <si>
    <t xml:space="preserve">S1-08</t>
  </si>
  <si>
    <t xml:space="preserve">Batches CRUD, schedule value object, session generation job with holidays, extra/cancel session</t>
  </si>
  <si>
    <t xml:space="preserve">BAT-1..3</t>
  </si>
  <si>
    <t xml:space="preserve">04 §3</t>
  </si>
  <si>
    <t xml:space="preserve">Re-running generation creates no duplicates</t>
  </si>
  <si>
    <t xml:space="preserve">Batches UI</t>
  </si>
  <si>
    <t xml:space="preserve">S1-14a</t>
  </si>
  <si>
    <t xml:space="preserve">FE batches: list, create/edit with schedule, teacher and fee plan (split from S1-14)</t>
  </si>
  <si>
    <t xml:space="preserve">S1-08, S1-13e</t>
  </si>
  <si>
    <t xml:space="preserve">BAT-1</t>
  </si>
  <si>
    <t xml:space="preserve">Server field errors shown inline</t>
  </si>
  <si>
    <t xml:space="preserve">Sessions UI</t>
  </si>
  <si>
    <t xml:space="preserve">NEW-06</t>
  </si>
  <si>
    <t xml:space="preserve">FE sessions and holidays: week view, add extra / cancel session, holiday list</t>
  </si>
  <si>
    <t xml:space="preserve">BAT-2, BAT-3</t>
  </si>
  <si>
    <t xml:space="preserve">Cancelled session disappears from attendance list</t>
  </si>
  <si>
    <t xml:space="preserve">Students API</t>
  </si>
  <si>
    <t xml:space="preserve">S1-09</t>
  </si>
  <si>
    <t xml:space="preserve">Students CRUD, E.164 validation, enrolments with exclusion constraint, status change events</t>
  </si>
  <si>
    <t xml:space="preserve">STU-1, ENR-1, ENR-2</t>
  </si>
  <si>
    <t xml:space="preserve">04 §4</t>
  </si>
  <si>
    <t xml:space="preserve">Overlapping enrolment rejected; capacity override audited</t>
  </si>
  <si>
    <t xml:space="preserve">Students UI</t>
  </si>
  <si>
    <t xml:space="preserve">S1-14b</t>
  </si>
  <si>
    <t xml:space="preserve">FE students: list, search, create/edit with E.164, enrol in batch (split from S1-14)</t>
  </si>
  <si>
    <t xml:space="preserve">S1-09, S1-13e</t>
  </si>
  <si>
    <t xml:space="preserve">STU-1</t>
  </si>
  <si>
    <t xml:space="preserve">Forms validate E.164</t>
  </si>
  <si>
    <t xml:space="preserve">Status UI</t>
  </si>
  <si>
    <t xml:space="preserve">NEW-07</t>
  </si>
  <si>
    <t xml:space="preserve">FE student status changes (pause, leave, resume) and enrolment history</t>
  </si>
  <si>
    <t xml:space="preserve">STU-2, ENR-2</t>
  </si>
  <si>
    <t xml:space="preserve">Status change visible in history</t>
  </si>
  <si>
    <t xml:space="preserve">Attendance API</t>
  </si>
  <si>
    <t xml:space="preserve">S1-10</t>
  </si>
  <si>
    <t xml:space="preserve">Mark with supersede, 7-day window, month view query</t>
  </si>
  <si>
    <t xml:space="preserve">S1-08, S1-09</t>
  </si>
  <si>
    <t xml:space="preserve">ATT-1, ATT-2</t>
  </si>
  <si>
    <t xml:space="preserve">Second save keeps history; day-8 edit → 409</t>
  </si>
  <si>
    <t xml:space="preserve">Attendance UI</t>
  </si>
  <si>
    <t xml:space="preserve">S1-15</t>
  </si>
  <si>
    <t xml:space="preserve">FE attendance marking, phone-first (default present, tap to toggle, save, offline warning)</t>
  </si>
  <si>
    <t xml:space="preserve">S1-10, S1-13e</t>
  </si>
  <si>
    <t xml:space="preserve">ATT-1</t>
  </si>
  <si>
    <t xml:space="preserve">40 students marked in under 60 s</t>
  </si>
  <si>
    <t xml:space="preserve">Seed data</t>
  </si>
  <si>
    <t xml:space="preserve">S1-12</t>
  </si>
  <si>
    <t xml:space="preserve">Seed script: Bright Minds, 3 teachers, 7 batches, 118 students, 2 months of attendance</t>
  </si>
  <si>
    <t xml:space="preserve">03 §10</t>
  </si>
  <si>
    <t xml:space="preserve">`make seed` under 30 s</t>
  </si>
  <si>
    <t xml:space="preserve">S1-17</t>
  </si>
  <si>
    <t xml:space="preserve">QA: sprint 1 test matrix; exploratory session on attendance</t>
  </si>
  <si>
    <t xml:space="preserve">10</t>
  </si>
  <si>
    <t xml:space="preserve">Findings filed as issues</t>
  </si>
  <si>
    <t xml:space="preserve">S2-01</t>
  </si>
  <si>
    <t xml:space="preserve">Migrations: charges, fee_runs, receipt_counters, payments, allocations, ledger_lines, mv_student_balances, grants</t>
  </si>
  <si>
    <t xml:space="preserve">Applied; grants tested</t>
  </si>
  <si>
    <t xml:space="preserve">Calculator</t>
  </si>
  <si>
    <t xml:space="preserve">S2-02</t>
  </si>
  <si>
    <t xml:space="preserve">FeeCalculator: pro-ration, discount, single rounding, computation JSON; jqwik properties</t>
  </si>
  <si>
    <t xml:space="preserve">FEE-2, FEE-5</t>
  </si>
  <si>
    <t xml:space="preserve">04 §5</t>
  </si>
  <si>
    <t xml:space="preserve">SRS examples pass; split-month property holds</t>
  </si>
  <si>
    <t xml:space="preserve">Fee run</t>
  </si>
  <si>
    <t xml:space="preserve">S2-03</t>
  </si>
  <si>
    <t xml:space="preserve">Fee run job per centre: ShedLock, paging, per-student transactions, progress, manual run/resume endpoint</t>
  </si>
  <si>
    <t xml:space="preserve">FEE-1, FEE-3</t>
  </si>
  <si>
    <t xml:space="preserve">04 §5, 03 §7</t>
  </si>
  <si>
    <t xml:space="preserve">Run twice → same count; kill at 60/118 and resume → 118</t>
  </si>
  <si>
    <t xml:space="preserve">Fee run preview</t>
  </si>
  <si>
    <t xml:space="preserve">NEW-13</t>
  </si>
  <si>
    <t xml:space="preserve">GET /fee-runs/{period}/preview: dry run with computation, writes nothing</t>
  </si>
  <si>
    <t xml:space="preserve">FEE-1</t>
  </si>
  <si>
    <t xml:space="preserve">Preview equals the charges the run then creates</t>
  </si>
  <si>
    <t xml:space="preserve">Adjustments</t>
  </si>
  <si>
    <t xml:space="preserve">S2-04</t>
  </si>
  <si>
    <t xml:space="preserve">Adjustments from StatusChanged / EnrolmentChanged (pause, leave, mid-month join, plan change)</t>
  </si>
  <si>
    <t xml:space="preserve">STU-2, FEE-6</t>
  </si>
  <si>
    <t xml:space="preserve">Pause on 16th of 30-day month → −15/30</t>
  </si>
  <si>
    <t xml:space="preserve">One-off charges</t>
  </si>
  <si>
    <t xml:space="preserve">S2-05</t>
  </si>
  <si>
    <t xml:space="preserve">One-off charges endpoint</t>
  </si>
  <si>
    <t xml:space="preserve">FEE-4</t>
  </si>
  <si>
    <t xml:space="preserve">Appears in ledger with description</t>
  </si>
  <si>
    <t xml:space="preserve">Fee run UI</t>
  </si>
  <si>
    <t xml:space="preserve">S2-13</t>
  </si>
  <si>
    <t xml:space="preserve">FE fee run page (preview, progress, resume) and one-off charge form</t>
  </si>
  <si>
    <t xml:space="preserve">Progress 60/118 visible during run</t>
  </si>
  <si>
    <t xml:space="preserve">Ledger</t>
  </si>
  <si>
    <t xml:space="preserve">S2-06</t>
  </si>
  <si>
    <t xml:space="preserve">LedgerLine append, balance query, materialised view refresh with debounce</t>
  </si>
  <si>
    <t xml:space="preserve">LED-1</t>
  </si>
  <si>
    <t xml:space="preserve">04 §6</t>
  </si>
  <si>
    <t xml:space="preserve">View equals sum after refresh</t>
  </si>
  <si>
    <t xml:space="preserve">Payments</t>
  </si>
  <si>
    <t xml:space="preserve">S2-07</t>
  </si>
  <si>
    <t xml:space="preserve">PaymentService.record: idempotency key, near-duplicate check, receipt counter lock, oldest-first allocation, credit</t>
  </si>
  <si>
    <t xml:space="preserve">PAY-1, PAY-3, PAY-4, LED-2</t>
  </si>
  <si>
    <t xml:space="preserve">04 §6, ADR-0006/7</t>
  </si>
  <si>
    <t xml:space="preserve">Replay → same receipt; 50-thread test → 1..50</t>
  </si>
  <si>
    <t xml:space="preserve">Refunds</t>
  </si>
  <si>
    <t xml:space="preserve">S2-08</t>
  </si>
  <si>
    <t xml:space="preserve">Refund and reallocation endpoints with reasons</t>
  </si>
  <si>
    <t xml:space="preserve">PAY-5</t>
  </si>
  <si>
    <t xml:space="preserve">Originals unchanged; refund line referenced</t>
  </si>
  <si>
    <t xml:space="preserve">Adjustments API</t>
  </si>
  <si>
    <t xml:space="preserve">NEW-14</t>
  </si>
  <si>
    <t xml:space="preserve">POST /adjustments: signed discount/credit/correction with required reason</t>
  </si>
  <si>
    <t xml:space="preserve">Adds a ledger line; nothing edited</t>
  </si>
  <si>
    <t xml:space="preserve">Statement</t>
  </si>
  <si>
    <t xml:space="preserve">S2-09</t>
  </si>
  <si>
    <t xml:space="preserve">Monthly statement and nightly reconciliation job (tl_reconciliation_diff_paise)</t>
  </si>
  <si>
    <t xml:space="preserve">LED-3</t>
  </si>
  <si>
    <t xml:space="preserve">04 §9</t>
  </si>
  <si>
    <t xml:space="preserve">Equation holds on seed data</t>
  </si>
  <si>
    <t xml:space="preserve">Events</t>
  </si>
  <si>
    <t xml:space="preserve">S2-10</t>
  </si>
  <si>
    <t xml:space="preserve">Modulith event publication registry (JDBC), replay incomplete on startup</t>
  </si>
  <si>
    <t xml:space="preserve">ADR-0011</t>
  </si>
  <si>
    <t xml:space="preserve">Kill between commit and listener → runs on restart</t>
  </si>
  <si>
    <t xml:space="preserve">Ledger UI</t>
  </si>
  <si>
    <t xml:space="preserve">S2-11</t>
  </si>
  <si>
    <t xml:space="preserve">FE student ledger with running balance; charge explanation popover</t>
  </si>
  <si>
    <t xml:space="preserve">LED-1, FEE-5</t>
  </si>
  <si>
    <t xml:space="preserve">Matches API totals</t>
  </si>
  <si>
    <t xml:space="preserve">Payment UI</t>
  </si>
  <si>
    <t xml:space="preserve">S2-12</t>
  </si>
  <si>
    <t xml:space="preserve">FE record payment (cash, UTR) with client UUID, near-duplicate dialog, receipt view</t>
  </si>
  <si>
    <t xml:space="preserve">PAY-1, PAY-3</t>
  </si>
  <si>
    <t xml:space="preserve">Double-tap creates one payment</t>
  </si>
  <si>
    <t xml:space="preserve">NEW-08</t>
  </si>
  <si>
    <t xml:space="preserve">QA: money matrix (pro-ration cases, duplicates, refunds, statement equation)</t>
  </si>
  <si>
    <t xml:space="preserve">Executed; defects filed</t>
  </si>
  <si>
    <t xml:space="preserve">Gate 1</t>
  </si>
  <si>
    <t xml:space="preserve">S2-14</t>
  </si>
  <si>
    <t xml:space="preserve">Gate 1: re-enter September from the register with the accountant; log discrepancies</t>
  </si>
  <si>
    <t xml:space="preserve">01 §10</t>
  </si>
  <si>
    <t xml:space="preserve">Statement balances</t>
  </si>
  <si>
    <t xml:space="preserve">S3-01</t>
  </si>
  <si>
    <t xml:space="preserve">Migrations: message_templates, outbox_messages, inbound_messages, webhook_events, consents, opt_outs, payment_links</t>
  </si>
  <si>
    <t xml:space="preserve">Applied</t>
  </si>
  <si>
    <t xml:space="preserve">Templates</t>
  </si>
  <si>
    <t xml:space="preserve">S3-02</t>
  </si>
  <si>
    <t xml:space="preserve">Template table + renderer with snapshot tests; English templates</t>
  </si>
  <si>
    <t xml:space="preserve">MSG-2, STU-3</t>
  </si>
  <si>
    <t xml:space="preserve">04 §7, 01 §5</t>
  </si>
  <si>
    <t xml:space="preserve">Snapshots match 01 §5</t>
  </si>
  <si>
    <t xml:space="preserve">Template approval</t>
  </si>
  <si>
    <t xml:space="preserve">S3-13</t>
  </si>
  <si>
    <t xml:space="preserve">Submit templates to Meta for approval (3–5 business days lead time)</t>
  </si>
  <si>
    <t xml:space="preserve">MSG-2</t>
  </si>
  <si>
    <t xml:space="preserve">ADR-0010</t>
  </si>
  <si>
    <t xml:space="preserve">Approval IDs recorded</t>
  </si>
  <si>
    <t xml:space="preserve">Outbox</t>
  </si>
  <si>
    <t xml:space="preserve">S3-03</t>
  </si>
  <si>
    <t xml:space="preserve">Outbox enqueue with dedupe key + not_before; relay with SKIP LOCKED, backoff; PreSendChecks</t>
  </si>
  <si>
    <t xml:space="preserve">MSG-4, MSG-5, MSG-7</t>
  </si>
  <si>
    <t xml:space="preserve">04 §7</t>
  </si>
  <si>
    <t xml:space="preserve">Kill relay mid-batch → each row sent once</t>
  </si>
  <si>
    <t xml:space="preserve">WhatsApp adapter</t>
  </si>
  <si>
    <t xml:space="preserve">S3-04</t>
  </si>
  <si>
    <t xml:space="preserve">Meta Cloud client with Resilience4j, fake client, status + inbound webhooks with signature check</t>
  </si>
  <si>
    <t xml:space="preserve">MSG-4, MSG-6</t>
  </si>
  <si>
    <t xml:space="preserve">04 §8</t>
  </si>
  <si>
    <t xml:space="preserve">Bad signature → 401; status updates delivery</t>
  </si>
  <si>
    <t xml:space="preserve">Consent</t>
  </si>
  <si>
    <t xml:space="preserve">S3-05</t>
  </si>
  <si>
    <t xml:space="preserve">Opt-in on StudentAdded, YES → consent, STOP → opt-out + owner notified</t>
  </si>
  <si>
    <t xml:space="preserve">STU-3, MSG-7</t>
  </si>
  <si>
    <t xml:space="preserve">No reminder possible before consent</t>
  </si>
  <si>
    <t xml:space="preserve">Keywords</t>
  </si>
  <si>
    <t xml:space="preserve">S3-06</t>
  </si>
  <si>
    <t xml:space="preserve">Inbound router: DUES, ATTENDANCE, RECEIPT, HELP, unknown → owner; Bengali synonyms</t>
  </si>
  <si>
    <t xml:space="preserve">MSG-6, ATT-3</t>
  </si>
  <si>
    <t xml:space="preserve">Reply content test per keyword</t>
  </si>
  <si>
    <t xml:space="preserve">Receipts</t>
  </si>
  <si>
    <t xml:space="preserve">S3-07</t>
  </si>
  <si>
    <t xml:space="preserve">Receipt message on PaymentRecorded; 60-second SLA metric</t>
  </si>
  <si>
    <t xml:space="preserve">Receipt row enqueued in listener</t>
  </si>
  <si>
    <t xml:space="preserve">Message log</t>
  </si>
  <si>
    <t xml:space="preserve">S3-10</t>
  </si>
  <si>
    <t xml:space="preserve">Message log per student; owner inbox for forwarded replies</t>
  </si>
  <si>
    <t xml:space="preserve">MSG-6</t>
  </si>
  <si>
    <t xml:space="preserve">Log shows template, variables, status</t>
  </si>
  <si>
    <t xml:space="preserve">Sender status</t>
  </si>
  <si>
    <t xml:space="preserve">NEW-15</t>
  </si>
  <si>
    <t xml:space="preserve">Centre WhatsApp sender status (not_connected/pending/connected), embedded signup start, outbox `held` released on approval</t>
  </si>
  <si>
    <t xml:space="preserve">S3-03, S3-04</t>
  </si>
  <si>
    <t xml:space="preserve">CEN-7</t>
  </si>
  <si>
    <t xml:space="preserve">ADR-0018</t>
  </si>
  <si>
    <t xml:space="preserve">Receipt recorded before approval is held, then sent on approval</t>
  </si>
  <si>
    <t xml:space="preserve">Consent UI</t>
  </si>
  <si>
    <t xml:space="preserve">S3-11</t>
  </si>
  <si>
    <t xml:space="preserve">FE consent status on students, resend opt-in, verbal consent with timestamp</t>
  </si>
  <si>
    <t xml:space="preserve">STU-3</t>
  </si>
  <si>
    <t xml:space="preserve">States visible and actionable</t>
  </si>
  <si>
    <t xml:space="preserve">KYC</t>
  </si>
  <si>
    <t xml:space="preserve">S3-14</t>
  </si>
  <si>
    <t xml:space="preserve">Start Razorpay KYC for pilot centre (≈1 week lead time — start in sprint 1)</t>
  </si>
  <si>
    <t xml:space="preserve">PAY-2</t>
  </si>
  <si>
    <t xml:space="preserve">08</t>
  </si>
  <si>
    <t xml:space="preserve">Live keys by sprint 4</t>
  </si>
  <si>
    <t xml:space="preserve">Razorpay adapter</t>
  </si>
  <si>
    <t xml:space="preserve">S3-08</t>
  </si>
  <si>
    <t xml:space="preserve">Payment link create; payment_link.paid webhook with signature; event store; PaymentService call</t>
  </si>
  <si>
    <t xml:space="preserve">04 §8, ADR-0006</t>
  </si>
  <si>
    <t xml:space="preserve">Replayed webhook → one payment</t>
  </si>
  <si>
    <t xml:space="preserve">Links API</t>
  </si>
  <si>
    <t xml:space="preserve">S3-09</t>
  </si>
  <si>
    <t xml:space="preserve">Payment links endpoint with plan gate stub; short URL in reminders</t>
  </si>
  <si>
    <t xml:space="preserve">Link created in sandbox</t>
  </si>
  <si>
    <t xml:space="preserve">Links + inbox UI</t>
  </si>
  <si>
    <t xml:space="preserve">S3-12</t>
  </si>
  <si>
    <t xml:space="preserve">FE payment link from student page / outstanding list; message log tab; owner inbox</t>
  </si>
  <si>
    <t xml:space="preserve">S3-09, S3-10</t>
  </si>
  <si>
    <t xml:space="preserve">PAY-2, MSG-6</t>
  </si>
  <si>
    <t xml:space="preserve">Link copied/shared; inbox reply box</t>
  </si>
  <si>
    <t xml:space="preserve">Announcements API</t>
  </si>
  <si>
    <t xml:space="preserve">S3-16</t>
  </si>
  <si>
    <t xml:space="preserve">Batch announcements: endpoint, template, per-parent fan-out via outbox; auto-announce on cancel</t>
  </si>
  <si>
    <t xml:space="preserve">ANN-1, ANN-2</t>
  </si>
  <si>
    <t xml:space="preserve">Opt-out skipped</t>
  </si>
  <si>
    <t xml:space="preserve">Announcements UI</t>
  </si>
  <si>
    <t xml:space="preserve">S3-17</t>
  </si>
  <si>
    <t xml:space="preserve">FE announcement composer with recipient count and preview</t>
  </si>
  <si>
    <t xml:space="preserve">ANN-1</t>
  </si>
  <si>
    <t xml:space="preserve">Count matches API</t>
  </si>
  <si>
    <t xml:space="preserve">S3-15</t>
  </si>
  <si>
    <t xml:space="preserve">QA: webhook replay, outbox crash, quiet hours, keyword matrix</t>
  </si>
  <si>
    <t xml:space="preserve">Reminders</t>
  </si>
  <si>
    <t xml:space="preserve">S4-01</t>
  </si>
  <si>
    <t xml:space="preserve">Reminder scheduler: slots, per-charge dedupe, live-balance check at enqueue and send, sibling combination</t>
  </si>
  <si>
    <t xml:space="preserve">MSG-1, MSG-8</t>
  </si>
  <si>
    <t xml:space="preserve">04 §7, ADR-0008</t>
  </si>
  <si>
    <t xml:space="preserve">Pay at 07:58 → skipped; two children → one message</t>
  </si>
  <si>
    <t xml:space="preserve">Digest</t>
  </si>
  <si>
    <t xml:space="preserve">S4-02</t>
  </si>
  <si>
    <t xml:space="preserve">Weekly digest job with disable setting; sibling combination</t>
  </si>
  <si>
    <t xml:space="preserve">MSG-3</t>
  </si>
  <si>
    <t xml:space="preserve">No digest when disabled</t>
  </si>
  <si>
    <t xml:space="preserve">Send now</t>
  </si>
  <si>
    <t xml:space="preserve">S4-03</t>
  </si>
  <si>
    <t xml:space="preserve">'Send reminder now' with 24-hour per-parent limit</t>
  </si>
  <si>
    <t xml:space="preserve">RPT-2</t>
  </si>
  <si>
    <t xml:space="preserve">Second call → 429</t>
  </si>
  <si>
    <t xml:space="preserve">Dashboard API</t>
  </si>
  <si>
    <t xml:space="preserve">S4-04</t>
  </si>
  <si>
    <t xml:space="preserve">Dashboard queries on mv + indexes; &lt; 100 ms on seed</t>
  </si>
  <si>
    <t xml:space="preserve">RPT-1</t>
  </si>
  <si>
    <t xml:space="preserve">Every figure matches SQL in test</t>
  </si>
  <si>
    <t xml:space="preserve">Reports API</t>
  </si>
  <si>
    <t xml:space="preserve">S4-05</t>
  </si>
  <si>
    <t xml:space="preserve">Outstanding list with days overdue; streaming CSV exports</t>
  </si>
  <si>
    <t xml:space="preserve">RPT-2, RPT-3</t>
  </si>
  <si>
    <t xml:space="preserve">10k rows stream without OOM</t>
  </si>
  <si>
    <t xml:space="preserve">List summaries</t>
  </si>
  <si>
    <t xml:space="preserve">NEW-16</t>
  </si>
  <si>
    <t xml:space="preserve">Students list filters hasBalance/consent + batchIds/attendanceRate30d; batch list summary fields</t>
  </si>
  <si>
    <t xml:space="preserve">S1-09, S1-08</t>
  </si>
  <si>
    <t xml:space="preserve">STU-1, BAT-1</t>
  </si>
  <si>
    <t xml:space="preserve">One request per list screen; no N+1</t>
  </si>
  <si>
    <t xml:space="preserve">Low attendance</t>
  </si>
  <si>
    <t xml:space="preserve">S4-06</t>
  </si>
  <si>
    <t xml:space="preserve">Low-attendance flag job</t>
  </si>
  <si>
    <t xml:space="preserve">ATT-4</t>
  </si>
  <si>
    <t xml:space="preserve">Flag appears next morning</t>
  </si>
  <si>
    <t xml:space="preserve">Settings API</t>
  </si>
  <si>
    <t xml:space="preserve">S4-07</t>
  </si>
  <si>
    <t xml:space="preserve">Centre settings endpoints + audit for all of 07 §2</t>
  </si>
  <si>
    <t xml:space="preserve">CEN-1</t>
  </si>
  <si>
    <t xml:space="preserve">07</t>
  </si>
  <si>
    <t xml:space="preserve">Each change audited and effective</t>
  </si>
  <si>
    <t xml:space="preserve">Receipt PDF</t>
  </si>
  <si>
    <t xml:space="preserve">S4-18</t>
  </si>
  <si>
    <t xml:space="preserve">Receipt PDF: HTML template, renderer, signed 90-day link, object storage</t>
  </si>
  <si>
    <t xml:space="preserve">RCP-1</t>
  </si>
  <si>
    <t xml:space="preserve">PDF totals equal ledger</t>
  </si>
  <si>
    <t xml:space="preserve">Dashboard UI</t>
  </si>
  <si>
    <t xml:space="preserve">S4-09</t>
  </si>
  <si>
    <t xml:space="preserve">FE dashboard, outstanding list with send-now, reports with statement and exports</t>
  </si>
  <si>
    <t xml:space="preserve">RPT-1..3</t>
  </si>
  <si>
    <t xml:space="preserve">Figures match API; phone layout</t>
  </si>
  <si>
    <t xml:space="preserve">Settings UI</t>
  </si>
  <si>
    <t xml:space="preserve">S4-10</t>
  </si>
  <si>
    <t xml:space="preserve">FE settings (07 §2), audit log viewer, onboarding checklist</t>
  </si>
  <si>
    <t xml:space="preserve">Checklist completes on seed centre</t>
  </si>
  <si>
    <t xml:space="preserve">iCal feeds</t>
  </si>
  <si>
    <t xml:space="preserve">S4-14</t>
  </si>
  <si>
    <t xml:space="preserve">iCal feed per user, signed token, revoke/rotate, deep link</t>
  </si>
  <si>
    <t xml:space="preserve">CAL-1, CAL-2</t>
  </si>
  <si>
    <t xml:space="preserve">ADR-0015</t>
  </si>
  <si>
    <t xml:space="preserve">Subscribes in Google Calendar; revoked → 404</t>
  </si>
  <si>
    <t xml:space="preserve">Nudges</t>
  </si>
  <si>
    <t xml:space="preserve">S4-15</t>
  </si>
  <si>
    <t xml:space="preserve">Teacher pre-session WhatsApp nudge via outbox, cancelled on cancel / already marked</t>
  </si>
  <si>
    <t xml:space="preserve">CAL-3</t>
  </si>
  <si>
    <t xml:space="preserve">Timing and cancellation tests</t>
  </si>
  <si>
    <t xml:space="preserve">Reschedule API</t>
  </si>
  <si>
    <t xml:space="preserve">S4-17</t>
  </si>
  <si>
    <t xml:space="preserve">Session reschedule with history; nudges, feeds, announcement follow</t>
  </si>
  <si>
    <t xml:space="preserve">SCH-1, ANN-2</t>
  </si>
  <si>
    <t xml:space="preserve">Feed and nudge at new time</t>
  </si>
  <si>
    <t xml:space="preserve">Calendar UI</t>
  </si>
  <si>
    <t xml:space="preserve">S4-16</t>
  </si>
  <si>
    <t xml:space="preserve">FE 'Add to my calendar' page and nudge settings</t>
  </si>
  <si>
    <t xml:space="preserve">CAL-4</t>
  </si>
  <si>
    <t xml:space="preserve">07 §2</t>
  </si>
  <si>
    <t xml:space="preserve">Works on phone</t>
  </si>
  <si>
    <t xml:space="preserve">Reschedule UI</t>
  </si>
  <si>
    <t xml:space="preserve">S4-19</t>
  </si>
  <si>
    <t xml:space="preserve">FE reschedule dialog; all-batches announcement with preview</t>
  </si>
  <si>
    <t xml:space="preserve">SCH-1, ANN-3</t>
  </si>
  <si>
    <t xml:space="preserve">Observability</t>
  </si>
  <si>
    <t xml:space="preserve">S4-08</t>
  </si>
  <si>
    <t xml:space="preserve">Metrics + alerts (outbox age, skipped reminders, fee run, webhook failures); Grafana v1</t>
  </si>
  <si>
    <t xml:space="preserve">NFR</t>
  </si>
  <si>
    <t xml:space="preserve">03 §9, 12</t>
  </si>
  <si>
    <t xml:space="preserve">Alerts fire in a drill</t>
  </si>
  <si>
    <t xml:space="preserve">Production deploy</t>
  </si>
  <si>
    <t xml:space="preserve">NEW-09</t>
  </si>
  <si>
    <t xml:space="preserve">Production VPS: reverse proxy + TLS, frontend static build served, deploy job on merge to main</t>
  </si>
  <si>
    <t xml:space="preserve">NFR-3</t>
  </si>
  <si>
    <t xml:space="preserve">03 §2, 12</t>
  </si>
  <si>
    <t xml:space="preserve">https URL serves SPA + API; deploy from main only</t>
  </si>
  <si>
    <t xml:space="preserve">S4-13</t>
  </si>
  <si>
    <t xml:space="preserve">QA: reminder matrix, dashboard figures, settings effects</t>
  </si>
  <si>
    <t xml:space="preserve">Go-live</t>
  </si>
  <si>
    <t xml:space="preserve">S4-11</t>
  </si>
  <si>
    <t xml:space="preserve">Go-live runbook for Bright Minds: live WhatsApp sender, Razorpay live keys, backups, staff onboarded, opt-ins</t>
  </si>
  <si>
    <t xml:space="preserve">S4-01, NEW-09</t>
  </si>
  <si>
    <t xml:space="preserve">Checklist signed</t>
  </si>
  <si>
    <t xml:space="preserve">Live fee run</t>
  </si>
  <si>
    <t xml:space="preserve">S4-12</t>
  </si>
  <si>
    <t xml:space="preserve">Fee run on the 1st with owner present; register as control</t>
  </si>
  <si>
    <t xml:space="preserve">Run complete; discrepancies logged</t>
  </si>
  <si>
    <t xml:space="preserve">Marks API</t>
  </si>
  <si>
    <t xml:space="preserve">S5-15</t>
  </si>
  <si>
    <t xml:space="preserve">Tests and marks: append-only with supersede, 14-day window, teacher scoping</t>
  </si>
  <si>
    <t xml:space="preserve">ASM-1, ASM-2</t>
  </si>
  <si>
    <t xml:space="preserve">Marks history test; above-max rejected</t>
  </si>
  <si>
    <t xml:space="preserve">Send results</t>
  </si>
  <si>
    <t xml:space="preserve">S5-16</t>
  </si>
  <si>
    <t xml:space="preserve">Per-child result messages, consent checks, batch average setting, once-per-test guard, correction</t>
  </si>
  <si>
    <t xml:space="preserve">ASM-3, ASM-4</t>
  </si>
  <si>
    <t xml:space="preserve">Resend → 409; correction → one parent</t>
  </si>
  <si>
    <t xml:space="preserve">Marks UI</t>
  </si>
  <si>
    <t xml:space="preserve">S5-17</t>
  </si>
  <si>
    <t xml:space="preserve">FE tests list, marks entry on phone, send-results confirmation</t>
  </si>
  <si>
    <t xml:space="preserve">ASM-1..3</t>
  </si>
  <si>
    <t xml:space="preserve">40 students under 90 s</t>
  </si>
  <si>
    <t xml:space="preserve">S5-18</t>
  </si>
  <si>
    <t xml:space="preserve">Result templates submitted to Meta</t>
  </si>
  <si>
    <t xml:space="preserve">ASM-3</t>
  </si>
  <si>
    <t xml:space="preserve">ADR-0016</t>
  </si>
  <si>
    <t xml:space="preserve">Approved before S5-16 ships</t>
  </si>
  <si>
    <t xml:space="preserve">PlanGuard</t>
  </si>
  <si>
    <t xml:space="preserve">S5-02</t>
  </si>
  <si>
    <t xml:space="preserve">Platform module: plans, subscriptions, PlanGuard with Redis snapshot, limits in services and relay</t>
  </si>
  <si>
    <t xml:space="preserve">PLT-1, MSG-9</t>
  </si>
  <si>
    <t xml:space="preserve">04 §10, ADR-0012</t>
  </si>
  <si>
    <t xml:space="preserve">402s per 08 §2</t>
  </si>
  <si>
    <t xml:space="preserve">Metering</t>
  </si>
  <si>
    <t xml:space="preserve">S5-03</t>
  </si>
  <si>
    <t xml:space="preserve">Metering job, platform invoices, Razorpay subscription/link, grace → read-only → suspended</t>
  </si>
  <si>
    <t xml:space="preserve">PLT-2, PLT-3</t>
  </si>
  <si>
    <t xml:space="preserve">08 §3</t>
  </si>
  <si>
    <t xml:space="preserve">Bright Minds invoice = ₹235 + GST</t>
  </si>
  <si>
    <t xml:space="preserve">Console API</t>
  </si>
  <si>
    <t xml:space="preserve">S5-04</t>
  </si>
  <si>
    <t xml:space="preserve">Platform console API (counts only) and audited 30-min support session</t>
  </si>
  <si>
    <t xml:space="preserve">PLT-1</t>
  </si>
  <si>
    <t xml:space="preserve">07 §5</t>
  </si>
  <si>
    <t xml:space="preserve">No student names in any response</t>
  </si>
  <si>
    <t xml:space="preserve">Plans + console UI</t>
  </si>
  <si>
    <t xml:space="preserve">S5-10</t>
  </si>
  <si>
    <t xml:space="preserve">FE plan &amp; usage page, upgrade/downgrade, read-only banner, platform console screens incl. create centre</t>
  </si>
  <si>
    <t xml:space="preserve">S5-02, NEW-04</t>
  </si>
  <si>
    <t xml:space="preserve">PLT-1..4</t>
  </si>
  <si>
    <t xml:space="preserve">06, 07 §5</t>
  </si>
  <si>
    <t xml:space="preserve">Upgrade flow in sandbox</t>
  </si>
  <si>
    <t xml:space="preserve">Data deletion</t>
  </si>
  <si>
    <t xml:space="preserve">S5-06</t>
  </si>
  <si>
    <t xml:space="preserve">Personal-data deletion endpoint and retention job</t>
  </si>
  <si>
    <t xml:space="preserve">STU-6</t>
  </si>
  <si>
    <t xml:space="preserve">Placeholders; ledger intact</t>
  </si>
  <si>
    <t xml:space="preserve">Deletion UI</t>
  </si>
  <si>
    <t xml:space="preserve">S5-11a</t>
  </si>
  <si>
    <t xml:space="preserve">FE data deletion confirmation (CSV import wizard moved to backlog with S5-05)</t>
  </si>
  <si>
    <t xml:space="preserve">Confirmation names the student</t>
  </si>
  <si>
    <t xml:space="preserve">Load test</t>
  </si>
  <si>
    <t xml:space="preserve">S5-08</t>
  </si>
  <si>
    <t xml:space="preserve">k6 load test 300 centres × 150 students; fix hot spots</t>
  </si>
  <si>
    <t xml:space="preserve">NFR-1, NFR-2</t>
  </si>
  <si>
    <t xml:space="preserve">03 §8</t>
  </si>
  <si>
    <t xml:space="preserve">Report in docs/perf</t>
  </si>
  <si>
    <t xml:space="preserve">Security</t>
  </si>
  <si>
    <t xml:space="preserve">S5-09</t>
  </si>
  <si>
    <t xml:space="preserve">Restore drill and security pass (dependency, headers, rate limits, secrets scan)</t>
  </si>
  <si>
    <t xml:space="preserve">11, 12</t>
  </si>
  <si>
    <t xml:space="preserve">Drill logged; scan clean</t>
  </si>
  <si>
    <t xml:space="preserve">Pilot fixes</t>
  </si>
  <si>
    <t xml:space="preserve">S5-01</t>
  </si>
  <si>
    <t xml:space="preserve">Pilot fixes — reserved capacity (already a buffer, so no contingency added)</t>
  </si>
  <si>
    <t xml:space="preserve">Each fix has a regression test</t>
  </si>
  <si>
    <t xml:space="preserve">Google verification</t>
  </si>
  <si>
    <t xml:space="preserve">S5-14</t>
  </si>
  <si>
    <t xml:space="preserve">Start Google OAuth app verification for sprint-6 sync</t>
  </si>
  <si>
    <t xml:space="preserve">CAL-5</t>
  </si>
  <si>
    <t xml:space="preserve">Submitted</t>
  </si>
  <si>
    <t xml:space="preserve">S5-13</t>
  </si>
  <si>
    <t xml:space="preserve">QA: full regression, plan-limit matrix, console privacy check</t>
  </si>
  <si>
    <t xml:space="preserve">Executed; release notes</t>
  </si>
  <si>
    <t xml:space="preserve">Gate 3</t>
  </si>
  <si>
    <t xml:space="preserve">S5-12</t>
  </si>
  <si>
    <t xml:space="preserve">Onboard two more centres; collect first invoice; write case study</t>
  </si>
  <si>
    <t xml:space="preserve">Invoice paid</t>
  </si>
  <si>
    <t xml:space="preserve">Phase 2 · post-pilot</t>
  </si>
  <si>
    <t xml:space="preserve">Roadmap item</t>
  </si>
  <si>
    <t xml:space="preserve">BL-01</t>
  </si>
  <si>
    <t xml:space="preserve">Monthly assessment with teacher comment</t>
  </si>
  <si>
    <t xml:space="preserve">BE/FE</t>
  </si>
  <si>
    <t xml:space="preserve">Phase 2</t>
  </si>
  <si>
    <t xml:space="preserve">ASM-5..8</t>
  </si>
  <si>
    <t xml:space="preserve">15-roadmap</t>
  </si>
  <si>
    <t xml:space="preserve">Not committed — size from 15-roadmap.md</t>
  </si>
  <si>
    <t xml:space="preserve">BL-02</t>
  </si>
  <si>
    <t xml:space="preserve">Admissions pipeline</t>
  </si>
  <si>
    <t xml:space="preserve">ADM-1..4</t>
  </si>
  <si>
    <t xml:space="preserve">BL-03</t>
  </si>
  <si>
    <t xml:space="preserve">Homework and study material</t>
  </si>
  <si>
    <t xml:space="preserve">HWK-1..2</t>
  </si>
  <si>
    <t xml:space="preserve">BL-04</t>
  </si>
  <si>
    <t xml:space="preserve">Parent leave requests (LEAVE keyword)</t>
  </si>
  <si>
    <t xml:space="preserve">LVE-1..2</t>
  </si>
  <si>
    <t xml:space="preserve">BL-05</t>
  </si>
  <si>
    <t xml:space="preserve">Expenses and profit view</t>
  </si>
  <si>
    <t xml:space="preserve">EXP-1..3</t>
  </si>
  <si>
    <t xml:space="preserve">BL-06</t>
  </si>
  <si>
    <t xml:space="preserve">Accountant exports (Tally, Zoho, GST)</t>
  </si>
  <si>
    <t xml:space="preserve">ACC-1..2</t>
  </si>
  <si>
    <t xml:space="preserve">BL-07</t>
  </si>
  <si>
    <t xml:space="preserve">Google Calendar sync and conflict checks</t>
  </si>
  <si>
    <t xml:space="preserve">BL-08</t>
  </si>
  <si>
    <t xml:space="preserve">CSV student import (S5-05 + wizard), Bengali templates</t>
  </si>
  <si>
    <t xml:space="preserve">STU-5, MSG-2</t>
  </si>
  <si>
    <t xml:space="preserve">BL-09</t>
  </si>
  <si>
    <t xml:space="preserve">Bank statement import and matching</t>
  </si>
  <si>
    <t xml:space="preserve">BNK-1</t>
  </si>
  <si>
    <t xml:space="preserve">BL-10</t>
  </si>
  <si>
    <t xml:space="preserve">Teacher payroll share</t>
  </si>
  <si>
    <t xml:space="preserve">PAYR-1</t>
  </si>
  <si>
    <t xml:space="preserve">Phase 3 · growth</t>
  </si>
  <si>
    <t xml:space="preserve">BL-11</t>
  </si>
  <si>
    <t xml:space="preserve">QR self check-in</t>
  </si>
  <si>
    <t xml:space="preserve">Phase 3</t>
  </si>
  <si>
    <t xml:space="preserve">QR-1..2</t>
  </si>
  <si>
    <t xml:space="preserve">BL-12</t>
  </si>
  <si>
    <t xml:space="preserve">Parent–teacher meeting slots</t>
  </si>
  <si>
    <t xml:space="preserve">PTM-1..2</t>
  </si>
  <si>
    <t xml:space="preserve">BL-13</t>
  </si>
  <si>
    <t xml:space="preserve">Multi-branch centres</t>
  </si>
  <si>
    <t xml:space="preserve">MB-1..3</t>
  </si>
  <si>
    <t xml:space="preserve">BL-14</t>
  </si>
  <si>
    <t xml:space="preserve">Referral programme</t>
  </si>
  <si>
    <t xml:space="preserve">REF-1</t>
  </si>
  <si>
    <t xml:space="preserve">BL-15</t>
  </si>
  <si>
    <t xml:space="preserve">Vernacular staff UI (Bengali, Hindi)</t>
  </si>
  <si>
    <t xml:space="preserve">I18N-1</t>
  </si>
  <si>
    <t xml:space="preserve">Phase 4 · add-ons</t>
  </si>
  <si>
    <t xml:space="preserve">BL-16</t>
  </si>
  <si>
    <t xml:space="preserve">Recorded class library + student portal</t>
  </si>
  <si>
    <t xml:space="preserve">Phase 4</t>
  </si>
  <si>
    <t xml:space="preserve">VID-1..7</t>
  </si>
  <si>
    <t xml:space="preserve">BL-17</t>
  </si>
  <si>
    <t xml:space="preserve">Multilingual everything</t>
  </si>
  <si>
    <t xml:space="preserve">I18N-2..3</t>
  </si>
  <si>
    <t xml:space="preserve">How to use this workbook</t>
  </si>
  <si>
    <t xml:space="preserve">1. 'Work Breakdown' lists every task in build order (Seq). Tenant provisioning comes before auth; each backend API comes before the screen that uses it.</t>
  </si>
  <si>
    <t xml:space="preserve">2. Yellow cells are yours to edit: Base (hd), Risk (N/L/M/H), Owner, Status. Blue text = input values.</t>
  </si>
  <si>
    <t xml:space="preserve">3. Estimate (hd) = Base × (1 + contingency for the risk level). Hours = Estimate × hours per hd (Assumptions).</t>
  </si>
  <si>
    <t xml:space="preserve">4. 'Summary' recalculates totals, sprints needed per role, per-sprint load vs capacity, and % done from Status.</t>
  </si>
  <si>
    <t xml:space="preserve">5. Task IDs: S#-## = ticket from docs/09-sprint-plan.md; S1-13a..e / S1-14a,b / S5-11a = tickets split for clarity; NEW-## = work missing from the sprint plan; BL-## = roadmap backlog (not committed).</t>
  </si>
  <si>
    <t xml:space="preserve">6. Example row: Seq 14 · S1-05 · BE · Base 3 hd · Risk H → 3 × 1.35 = 4.05 hd ≈ 16 h.</t>
  </si>
  <si>
    <t xml:space="preserve">Repo layout assumed (monorepo, this repo): /backend (Spring Boot, Gradle), /frontend (React + Vite), /infra (Docker Compose, deploy), /docs.</t>
  </si>
  <si>
    <t xml:space="preserve">Branching: every task = one branch + one PR into main (main is protected).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</si>
</sst>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15" hidden="false" customHeight="true" outlineLevel="0" collapsed="false">
      <c r="A4" s="5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26.2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4"/>
      <c r="I5" s="4"/>
    </row>
    <row r="6" customFormat="false" ht="15" hidden="false" customHeight="true" outlineLevel="0" collapsed="false">
      <c r="A6" s="4" t="s">
        <v>10</v>
      </c>
      <c r="B6" s="7" t="n">
        <f aca="false">SUMIFS('Work Breakdown'!$L$2:$L$122,'Work Breakdown'!$B$2:$B$122,A6)</f>
        <v>159</v>
      </c>
      <c r="C6" s="7" t="n">
        <f aca="false">SUMIFS('Work Breakdown'!$O$2:$O$122,'Work Breakdown'!$B$2:$B$122,A6)</f>
        <v>193.5</v>
      </c>
      <c r="D6" s="8" t="n">
        <f aca="false">SUMIFS('Work Breakdown'!$P$2:$P$122,'Work Breakdown'!$B$2:$B$122,A6)</f>
        <v>774</v>
      </c>
      <c r="E6" s="7" t="n">
        <f aca="false">C6/2</f>
        <v>96.75</v>
      </c>
      <c r="F6" s="7" t="n">
        <f aca="false">SUMIFS('Work Breakdown'!$O$2:$O$122,'Work Breakdown'!$B$2:$B$122,A6,'Work Breakdown'!$R$2:$R$122,"Done")</f>
        <v>2.2</v>
      </c>
      <c r="G6" s="9" t="n">
        <f aca="false">IF(C6=0,0,F6/C6)</f>
        <v>0.0113695090439277</v>
      </c>
      <c r="H6" s="4"/>
      <c r="I6" s="4"/>
    </row>
    <row r="7" customFormat="false" ht="15" hidden="false" customHeight="true" outlineLevel="0" collapsed="false">
      <c r="A7" s="4" t="s">
        <v>11</v>
      </c>
      <c r="B7" s="7" t="n">
        <f aca="false">SUMIFS('Work Breakdown'!$L$2:$L$122,'Work Breakdown'!$B$2:$B$122,A7)</f>
        <v>96</v>
      </c>
      <c r="C7" s="7" t="n">
        <f aca="false">SUMIFS('Work Breakdown'!$O$2:$O$122,'Work Breakdown'!$B$2:$B$122,A7)</f>
        <v>115.2</v>
      </c>
      <c r="D7" s="8" t="n">
        <f aca="false">SUMIFS('Work Breakdown'!$P$2:$P$122,'Work Breakdown'!$B$2:$B$122,A7)</f>
        <v>460.8</v>
      </c>
      <c r="E7" s="7" t="n">
        <f aca="false">C7/2</f>
        <v>57.6</v>
      </c>
      <c r="F7" s="7" t="n">
        <f aca="false">SUMIFS('Work Breakdown'!$O$2:$O$122,'Work Breakdown'!$B$2:$B$122,A7,'Work Breakdown'!$R$2:$R$122,"Done")</f>
        <v>0</v>
      </c>
      <c r="G7" s="9" t="n">
        <f aca="false">IF(C7=0,0,F7/C7)</f>
        <v>0</v>
      </c>
      <c r="H7" s="4"/>
      <c r="I7" s="4"/>
    </row>
    <row r="8" customFormat="false" ht="1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</row>
    <row r="9" customFormat="false" ht="15" hidden="false" customHeight="true" outlineLevel="0" collapsed="false">
      <c r="A9" s="5" t="s">
        <v>12</v>
      </c>
      <c r="B9" s="4"/>
      <c r="C9" s="4"/>
      <c r="D9" s="4"/>
      <c r="E9" s="4"/>
      <c r="F9" s="4"/>
      <c r="G9" s="4"/>
      <c r="H9" s="4"/>
      <c r="I9" s="4"/>
    </row>
    <row r="10" customFormat="false" ht="26.25" hidden="false" customHeight="true" outlineLevel="0" collapsed="false">
      <c r="A10" s="6" t="s">
        <v>13</v>
      </c>
      <c r="B10" s="6" t="s">
        <v>4</v>
      </c>
      <c r="C10" s="6" t="s">
        <v>5</v>
      </c>
      <c r="D10" s="6" t="s">
        <v>6</v>
      </c>
      <c r="E10" s="6" t="s">
        <v>14</v>
      </c>
      <c r="F10" s="6" t="s">
        <v>15</v>
      </c>
      <c r="G10" s="6" t="s">
        <v>16</v>
      </c>
      <c r="H10" s="4"/>
      <c r="I10" s="4"/>
    </row>
    <row r="11" customFormat="false" ht="15" hidden="false" customHeight="true" outlineLevel="0" collapsed="false">
      <c r="A11" s="4" t="s">
        <v>17</v>
      </c>
      <c r="B11" s="7" t="n">
        <f aca="false">SUMIFS('Work Breakdown'!$L$2:$L$122,'Work Breakdown'!$B$2:$B$122,"MVP",'Work Breakdown'!$G$2:$G$122,A11)</f>
        <v>108</v>
      </c>
      <c r="C11" s="7" t="n">
        <f aca="false">SUMIFS('Work Breakdown'!$O$2:$O$122,'Work Breakdown'!$B$2:$B$122,"MVP",'Work Breakdown'!$G$2:$G$122,A11)</f>
        <v>133.025</v>
      </c>
      <c r="D11" s="8" t="n">
        <f aca="false">SUMIFS('Work Breakdown'!$P$2:$P$122,'Work Breakdown'!$B$2:$B$122,"MVP",'Work Breakdown'!$G$2:$G$122,A11)</f>
        <v>532.1</v>
      </c>
      <c r="E11" s="7" t="n">
        <f aca="false">INDEX(Assumptions!$B$19:$B$22,MATCH(A11,Assumptions!$A$19:$A$22,0))</f>
        <v>20</v>
      </c>
      <c r="F11" s="7" t="n">
        <f aca="false">IF(E11=0,0,C11/E11)</f>
        <v>6.65125</v>
      </c>
      <c r="G11" s="7" t="n">
        <f aca="false">F11*Assumptions!$B$4/5</f>
        <v>13.3025</v>
      </c>
      <c r="H11" s="4"/>
      <c r="I11" s="4"/>
    </row>
    <row r="12" customFormat="false" ht="15" hidden="false" customHeight="true" outlineLevel="0" collapsed="false">
      <c r="A12" s="4" t="s">
        <v>18</v>
      </c>
      <c r="B12" s="7" t="n">
        <f aca="false">SUMIFS('Work Breakdown'!$L$2:$L$122,'Work Breakdown'!$B$2:$B$122,"MVP",'Work Breakdown'!$G$2:$G$122,A12)</f>
        <v>36.5</v>
      </c>
      <c r="C12" s="7" t="n">
        <f aca="false">SUMIFS('Work Breakdown'!$O$2:$O$122,'Work Breakdown'!$B$2:$B$122,"MVP",'Work Breakdown'!$G$2:$G$122,A12)</f>
        <v>42.5</v>
      </c>
      <c r="D12" s="8" t="n">
        <f aca="false">SUMIFS('Work Breakdown'!$P$2:$P$122,'Work Breakdown'!$B$2:$B$122,"MVP",'Work Breakdown'!$G$2:$G$122,A12)</f>
        <v>170</v>
      </c>
      <c r="E12" s="7" t="n">
        <f aca="false">INDEX(Assumptions!$B$19:$B$22,MATCH(A12,Assumptions!$A$19:$A$22,0))</f>
        <v>8</v>
      </c>
      <c r="F12" s="7" t="n">
        <f aca="false">IF(E12=0,0,C12/E12)</f>
        <v>5.3125</v>
      </c>
      <c r="G12" s="7" t="n">
        <f aca="false">F12*Assumptions!$B$4/5</f>
        <v>10.625</v>
      </c>
      <c r="H12" s="4"/>
      <c r="I12" s="4"/>
    </row>
    <row r="13" customFormat="false" ht="15" hidden="false" customHeight="true" outlineLevel="0" collapsed="false">
      <c r="A13" s="4" t="s">
        <v>19</v>
      </c>
      <c r="B13" s="7" t="n">
        <f aca="false">SUMIFS('Work Breakdown'!$L$2:$L$122,'Work Breakdown'!$B$2:$B$122,"MVP",'Work Breakdown'!$G$2:$G$122,A13)</f>
        <v>7.5</v>
      </c>
      <c r="C13" s="7" t="n">
        <f aca="false">SUMIFS('Work Breakdown'!$O$2:$O$122,'Work Breakdown'!$B$2:$B$122,"MVP",'Work Breakdown'!$G$2:$G$122,A13)</f>
        <v>8.9</v>
      </c>
      <c r="D13" s="8" t="n">
        <f aca="false">SUMIFS('Work Breakdown'!$P$2:$P$122,'Work Breakdown'!$B$2:$B$122,"MVP",'Work Breakdown'!$G$2:$G$122,A13)</f>
        <v>35.6</v>
      </c>
      <c r="E13" s="7" t="n">
        <f aca="false">INDEX(Assumptions!$B$19:$B$22,MATCH(A13,Assumptions!$A$19:$A$22,0))</f>
        <v>2</v>
      </c>
      <c r="F13" s="7" t="n">
        <f aca="false">IF(E13=0,0,C13/E13)</f>
        <v>4.45</v>
      </c>
      <c r="G13" s="7" t="n">
        <f aca="false">F13*Assumptions!$B$4/5</f>
        <v>8.9</v>
      </c>
      <c r="H13" s="4"/>
      <c r="I13" s="4"/>
    </row>
    <row r="14" customFormat="false" ht="15" hidden="false" customHeight="true" outlineLevel="0" collapsed="false">
      <c r="A14" s="4" t="s">
        <v>20</v>
      </c>
      <c r="B14" s="7" t="n">
        <f aca="false">SUMIFS('Work Breakdown'!$L$2:$L$122,'Work Breakdown'!$B$2:$B$122,"MVP",'Work Breakdown'!$G$2:$G$122,A14)</f>
        <v>7</v>
      </c>
      <c r="C14" s="7" t="n">
        <f aca="false">SUMIFS('Work Breakdown'!$O$2:$O$122,'Work Breakdown'!$B$2:$B$122,"MVP",'Work Breakdown'!$G$2:$G$122,A14)</f>
        <v>9.075</v>
      </c>
      <c r="D14" s="8" t="n">
        <f aca="false">SUMIFS('Work Breakdown'!$P$2:$P$122,'Work Breakdown'!$B$2:$B$122,"MVP",'Work Breakdown'!$G$2:$G$122,A14)</f>
        <v>36.3</v>
      </c>
      <c r="E14" s="7" t="n">
        <f aca="false">INDEX(Assumptions!$B$19:$B$22,MATCH(A14,Assumptions!$A$19:$A$22,0))</f>
        <v>4</v>
      </c>
      <c r="F14" s="7" t="n">
        <f aca="false">IF(E14=0,0,C14/E14)</f>
        <v>2.26875</v>
      </c>
      <c r="G14" s="7" t="n">
        <f aca="false">F14*Assumptions!$B$4/5</f>
        <v>4.5375</v>
      </c>
      <c r="H14" s="4"/>
      <c r="I14" s="4"/>
    </row>
    <row r="15" customFormat="false" ht="15" hidden="false" customHeight="true" outlineLevel="0" collapsed="false">
      <c r="A15" s="10" t="s">
        <v>21</v>
      </c>
      <c r="B15" s="4"/>
      <c r="C15" s="4"/>
      <c r="D15" s="8"/>
      <c r="E15" s="7"/>
      <c r="F15" s="7" t="n">
        <f aca="false">MAX(F11:F14)</f>
        <v>6.65125</v>
      </c>
      <c r="G15" s="7" t="n">
        <f aca="false">MAX(G11:G14)</f>
        <v>13.3025</v>
      </c>
      <c r="H15" s="4"/>
      <c r="I15" s="4"/>
    </row>
    <row r="16" customFormat="false" ht="1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</row>
    <row r="17" customFormat="false" ht="15" hidden="false" customHeight="true" outlineLevel="0" collapsed="false">
      <c r="A17" s="5" t="s">
        <v>22</v>
      </c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true" outlineLevel="0" collapsed="false">
      <c r="A18" s="6" t="s">
        <v>23</v>
      </c>
      <c r="B18" s="6" t="s">
        <v>17</v>
      </c>
      <c r="C18" s="6" t="s">
        <v>24</v>
      </c>
      <c r="D18" s="6" t="s">
        <v>25</v>
      </c>
      <c r="E18" s="6" t="s">
        <v>18</v>
      </c>
      <c r="F18" s="6" t="s">
        <v>26</v>
      </c>
      <c r="G18" s="6" t="s">
        <v>27</v>
      </c>
      <c r="H18" s="6" t="s">
        <v>19</v>
      </c>
      <c r="I18" s="6" t="s">
        <v>20</v>
      </c>
    </row>
    <row r="19" customFormat="false" ht="15" hidden="false" customHeight="true" outlineLevel="0" collapsed="false">
      <c r="A19" s="4" t="s">
        <v>28</v>
      </c>
      <c r="B19" s="7" t="n">
        <f aca="false">SUMIFS('Work Breakdown'!$O$2:$O$122,'Work Breakdown'!$I$2:$I$122,A19,'Work Breakdown'!$G$2:$G$122,"BE")</f>
        <v>31.85</v>
      </c>
      <c r="C19" s="7" t="n">
        <f aca="false">Assumptions!$B$19</f>
        <v>20</v>
      </c>
      <c r="D19" s="9" t="n">
        <f aca="false">IF(C19=0,0,B19/C19)</f>
        <v>1.5925</v>
      </c>
      <c r="E19" s="7" t="n">
        <f aca="false">SUMIFS('Work Breakdown'!$O$2:$O$122,'Work Breakdown'!$I$2:$I$122,A19,'Work Breakdown'!$G$2:$G$122,"FE")</f>
        <v>10.2</v>
      </c>
      <c r="F19" s="7" t="n">
        <f aca="false">Assumptions!$B$20</f>
        <v>8</v>
      </c>
      <c r="G19" s="9" t="n">
        <f aca="false">IF(F19=0,0,E19/F19)</f>
        <v>1.275</v>
      </c>
      <c r="H19" s="7" t="n">
        <f aca="false">SUMIFS('Work Breakdown'!$O$2:$O$122,'Work Breakdown'!$I$2:$I$122,A19,'Work Breakdown'!$G$2:$G$122,"QA")</f>
        <v>1.1</v>
      </c>
      <c r="I19" s="7" t="n">
        <f aca="false">SUMIFS('Work Breakdown'!$O$2:$O$122,'Work Breakdown'!$I$2:$I$122,A19,'Work Breakdown'!$G$2:$G$122,"PM")</f>
        <v>0</v>
      </c>
    </row>
    <row r="20" customFormat="false" ht="15" hidden="false" customHeight="true" outlineLevel="0" collapsed="false">
      <c r="A20" s="4" t="s">
        <v>29</v>
      </c>
      <c r="B20" s="7" t="n">
        <f aca="false">SUMIFS('Work Breakdown'!$O$2:$O$122,'Work Breakdown'!$I$2:$I$122,A20,'Work Breakdown'!$G$2:$G$122,"BE")</f>
        <v>29.825</v>
      </c>
      <c r="C20" s="7" t="n">
        <f aca="false">Assumptions!$B$19</f>
        <v>20</v>
      </c>
      <c r="D20" s="9" t="n">
        <f aca="false">IF(C20=0,0,B20/C20)</f>
        <v>1.49125</v>
      </c>
      <c r="E20" s="7" t="n">
        <f aca="false">SUMIFS('Work Breakdown'!$O$2:$O$122,'Work Breakdown'!$I$2:$I$122,A20,'Work Breakdown'!$G$2:$G$122,"FE")</f>
        <v>12.85</v>
      </c>
      <c r="F20" s="7" t="n">
        <f aca="false">Assumptions!$B$20</f>
        <v>8</v>
      </c>
      <c r="G20" s="9" t="n">
        <f aca="false">IF(F20=0,0,E20/F20)</f>
        <v>1.60625</v>
      </c>
      <c r="H20" s="7" t="n">
        <f aca="false">SUMIFS('Work Breakdown'!$O$2:$O$122,'Work Breakdown'!$I$2:$I$122,A20,'Work Breakdown'!$G$2:$G$122,"QA")</f>
        <v>1.2</v>
      </c>
      <c r="I20" s="7" t="n">
        <f aca="false">SUMIFS('Work Breakdown'!$O$2:$O$122,'Work Breakdown'!$I$2:$I$122,A20,'Work Breakdown'!$G$2:$G$122,"PM")</f>
        <v>0</v>
      </c>
    </row>
    <row r="21" customFormat="false" ht="15" hidden="false" customHeight="true" outlineLevel="0" collapsed="false">
      <c r="A21" s="4" t="s">
        <v>30</v>
      </c>
      <c r="B21" s="7" t="n">
        <f aca="false">SUMIFS('Work Breakdown'!$O$2:$O$122,'Work Breakdown'!$I$2:$I$122,A21,'Work Breakdown'!$G$2:$G$122,"BE")</f>
        <v>24.9</v>
      </c>
      <c r="C21" s="7" t="n">
        <f aca="false">Assumptions!$B$19</f>
        <v>20</v>
      </c>
      <c r="D21" s="9" t="n">
        <f aca="false">IF(C21=0,0,B21/C21)</f>
        <v>1.245</v>
      </c>
      <c r="E21" s="7" t="n">
        <f aca="false">SUMIFS('Work Breakdown'!$O$2:$O$122,'Work Breakdown'!$I$2:$I$122,A21,'Work Breakdown'!$G$2:$G$122,"FE")</f>
        <v>4.6</v>
      </c>
      <c r="F21" s="7" t="n">
        <f aca="false">Assumptions!$B$20</f>
        <v>8</v>
      </c>
      <c r="G21" s="9" t="n">
        <f aca="false">IF(F21=0,0,E21/F21)</f>
        <v>0.575</v>
      </c>
      <c r="H21" s="7" t="n">
        <f aca="false">SUMIFS('Work Breakdown'!$O$2:$O$122,'Work Breakdown'!$I$2:$I$122,A21,'Work Breakdown'!$G$2:$G$122,"QA")</f>
        <v>1.8</v>
      </c>
      <c r="I21" s="7" t="n">
        <f aca="false">SUMIFS('Work Breakdown'!$O$2:$O$122,'Work Breakdown'!$I$2:$I$122,A21,'Work Breakdown'!$G$2:$G$122,"PM")</f>
        <v>1.35</v>
      </c>
    </row>
    <row r="22" customFormat="false" ht="15" hidden="false" customHeight="true" outlineLevel="0" collapsed="false">
      <c r="A22" s="4" t="s">
        <v>31</v>
      </c>
      <c r="B22" s="7" t="n">
        <f aca="false">SUMIFS('Work Breakdown'!$O$2:$O$122,'Work Breakdown'!$I$2:$I$122,A22,'Work Breakdown'!$G$2:$G$122,"BE")</f>
        <v>22.3</v>
      </c>
      <c r="C22" s="7" t="n">
        <f aca="false">Assumptions!$B$19</f>
        <v>20</v>
      </c>
      <c r="D22" s="9" t="n">
        <f aca="false">IF(C22=0,0,B22/C22)</f>
        <v>1.115</v>
      </c>
      <c r="E22" s="7" t="n">
        <f aca="false">SUMIFS('Work Breakdown'!$O$2:$O$122,'Work Breakdown'!$I$2:$I$122,A22,'Work Breakdown'!$G$2:$G$122,"FE")</f>
        <v>7.7</v>
      </c>
      <c r="F22" s="7" t="n">
        <f aca="false">Assumptions!$B$20</f>
        <v>8</v>
      </c>
      <c r="G22" s="9" t="n">
        <f aca="false">IF(F22=0,0,E22/F22)</f>
        <v>0.9625</v>
      </c>
      <c r="H22" s="7" t="n">
        <f aca="false">SUMIFS('Work Breakdown'!$O$2:$O$122,'Work Breakdown'!$I$2:$I$122,A22,'Work Breakdown'!$G$2:$G$122,"QA")</f>
        <v>2.4</v>
      </c>
      <c r="I22" s="7" t="n">
        <f aca="false">SUMIFS('Work Breakdown'!$O$2:$O$122,'Work Breakdown'!$I$2:$I$122,A22,'Work Breakdown'!$G$2:$G$122,"PM")</f>
        <v>3.3</v>
      </c>
    </row>
    <row r="23" customFormat="false" ht="15" hidden="false" customHeight="true" outlineLevel="0" collapsed="false">
      <c r="A23" s="4" t="s">
        <v>32</v>
      </c>
      <c r="B23" s="7" t="n">
        <f aca="false">SUMIFS('Work Breakdown'!$O$2:$O$122,'Work Breakdown'!$I$2:$I$122,A23,'Work Breakdown'!$G$2:$G$122,"BE")</f>
        <v>24.15</v>
      </c>
      <c r="C23" s="7" t="n">
        <f aca="false">Assumptions!$B$19</f>
        <v>20</v>
      </c>
      <c r="D23" s="9" t="n">
        <f aca="false">IF(C23=0,0,B23/C23)</f>
        <v>1.2075</v>
      </c>
      <c r="E23" s="7" t="n">
        <f aca="false">SUMIFS('Work Breakdown'!$O$2:$O$122,'Work Breakdown'!$I$2:$I$122,A23,'Work Breakdown'!$G$2:$G$122,"FE")</f>
        <v>7.15</v>
      </c>
      <c r="F23" s="7" t="n">
        <f aca="false">Assumptions!$B$20</f>
        <v>8</v>
      </c>
      <c r="G23" s="9" t="n">
        <f aca="false">IF(F23=0,0,E23/F23)</f>
        <v>0.89375</v>
      </c>
      <c r="H23" s="7" t="n">
        <f aca="false">SUMIFS('Work Breakdown'!$O$2:$O$122,'Work Breakdown'!$I$2:$I$122,A23,'Work Breakdown'!$G$2:$G$122,"QA")</f>
        <v>2.4</v>
      </c>
      <c r="I23" s="7" t="n">
        <f aca="false">SUMIFS('Work Breakdown'!$O$2:$O$122,'Work Breakdown'!$I$2:$I$122,A23,'Work Breakdown'!$G$2:$G$122,"PM")</f>
        <v>4.425</v>
      </c>
    </row>
    <row r="24" customFormat="false" ht="15" hidden="false" customHeight="true" outlineLevel="0" collapsed="false">
      <c r="A24" s="11" t="s">
        <v>33</v>
      </c>
      <c r="B24" s="4"/>
      <c r="C24" s="4"/>
      <c r="D24" s="4"/>
      <c r="E24" s="4"/>
      <c r="F24" s="4"/>
      <c r="G24" s="4"/>
      <c r="H24" s="4"/>
      <c r="I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</row>
    <row r="26" customFormat="false" ht="15" hidden="false" customHeight="true" outlineLevel="0" collapsed="false">
      <c r="A26" s="5" t="s">
        <v>34</v>
      </c>
      <c r="B26" s="4"/>
      <c r="C26" s="4"/>
      <c r="D26" s="4"/>
      <c r="E26" s="4"/>
      <c r="F26" s="4"/>
      <c r="G26" s="4"/>
      <c r="H26" s="4"/>
      <c r="I26" s="4"/>
    </row>
    <row r="27" customFormat="false" ht="26.25" hidden="false" customHeight="true" outlineLevel="0" collapsed="false">
      <c r="A27" s="6" t="s">
        <v>35</v>
      </c>
      <c r="B27" s="6" t="s">
        <v>36</v>
      </c>
      <c r="C27" s="6" t="s">
        <v>37</v>
      </c>
      <c r="D27" s="6" t="s">
        <v>38</v>
      </c>
      <c r="E27" s="6" t="s">
        <v>39</v>
      </c>
      <c r="F27" s="6" t="s">
        <v>40</v>
      </c>
      <c r="G27" s="6" t="s">
        <v>8</v>
      </c>
      <c r="H27" s="6" t="s">
        <v>9</v>
      </c>
      <c r="I27" s="4"/>
    </row>
    <row r="28" customFormat="false" ht="15" hidden="false" customHeight="true" outlineLevel="0" collapsed="false">
      <c r="A28" s="4" t="s">
        <v>41</v>
      </c>
      <c r="B28" s="7" t="n">
        <f aca="false">SUMIFS('Work Breakdown'!$O$2:$O$122,'Work Breakdown'!$C$2:$C$122,A28,'Work Breakdown'!$G$2:$G$122,"BE")</f>
        <v>8.2</v>
      </c>
      <c r="C28" s="7" t="n">
        <f aca="false">SUMIFS('Work Breakdown'!$O$2:$O$122,'Work Breakdown'!$C$2:$C$122,A28,'Work Breakdown'!$G$2:$G$122,"FE")</f>
        <v>2.75</v>
      </c>
      <c r="D28" s="7" t="n">
        <f aca="false">SUMIFS('Work Breakdown'!$O$2:$O$122,'Work Breakdown'!$C$2:$C$122,A28,'Work Breakdown'!$G$2:$G$122,"QA")+SUMIFS('Work Breakdown'!$O$2:$O$122,'Work Breakdown'!$C$2:$C$122,A28,'Work Breakdown'!$G$2:$G$122,"PM")</f>
        <v>0</v>
      </c>
      <c r="E28" s="7" t="n">
        <f aca="false">SUM(B28:D28)</f>
        <v>10.95</v>
      </c>
      <c r="F28" s="8" t="n">
        <f aca="false">E28*Assumptions!$B$3</f>
        <v>43.8</v>
      </c>
      <c r="G28" s="7" t="n">
        <f aca="false">SUMIFS('Work Breakdown'!$O$2:$O$122,'Work Breakdown'!$C$2:$C$122,A28,'Work Breakdown'!$R$2:$R$122,"Done")</f>
        <v>2.2</v>
      </c>
      <c r="H28" s="9" t="n">
        <f aca="false">IF(E28=0,0,G28/E28)</f>
        <v>0.200913242009132</v>
      </c>
      <c r="I28" s="4"/>
    </row>
    <row r="29" customFormat="false" ht="15" hidden="false" customHeight="true" outlineLevel="0" collapsed="false">
      <c r="A29" s="4" t="s">
        <v>42</v>
      </c>
      <c r="B29" s="7" t="n">
        <f aca="false">SUMIFS('Work Breakdown'!$O$2:$O$122,'Work Breakdown'!$C$2:$C$122,A29,'Work Breakdown'!$G$2:$G$122,"BE")</f>
        <v>6.6</v>
      </c>
      <c r="C29" s="7" t="n">
        <f aca="false">SUMIFS('Work Breakdown'!$O$2:$O$122,'Work Breakdown'!$C$2:$C$122,A29,'Work Breakdown'!$G$2:$G$122,"FE")</f>
        <v>0</v>
      </c>
      <c r="D29" s="7" t="n">
        <f aca="false">SUMIFS('Work Breakdown'!$O$2:$O$122,'Work Breakdown'!$C$2:$C$122,A29,'Work Breakdown'!$G$2:$G$122,"QA")+SUMIFS('Work Breakdown'!$O$2:$O$122,'Work Breakdown'!$C$2:$C$122,A29,'Work Breakdown'!$G$2:$G$122,"PM")</f>
        <v>0</v>
      </c>
      <c r="E29" s="7" t="n">
        <f aca="false">SUM(B29:D29)</f>
        <v>6.6</v>
      </c>
      <c r="F29" s="8" t="n">
        <f aca="false">E29*Assumptions!$B$3</f>
        <v>26.4</v>
      </c>
      <c r="G29" s="7" t="n">
        <f aca="false">SUMIFS('Work Breakdown'!$O$2:$O$122,'Work Breakdown'!$C$2:$C$122,A29,'Work Breakdown'!$R$2:$R$122,"Done")</f>
        <v>0</v>
      </c>
      <c r="H29" s="9" t="n">
        <f aca="false">IF(E29=0,0,G29/E29)</f>
        <v>0</v>
      </c>
      <c r="I29" s="4"/>
    </row>
    <row r="30" customFormat="false" ht="15" hidden="false" customHeight="true" outlineLevel="0" collapsed="false">
      <c r="A30" s="4" t="s">
        <v>43</v>
      </c>
      <c r="B30" s="7" t="n">
        <f aca="false">SUMIFS('Work Breakdown'!$O$2:$O$122,'Work Breakdown'!$C$2:$C$122,A30,'Work Breakdown'!$G$2:$G$122,"BE")</f>
        <v>12.275</v>
      </c>
      <c r="C30" s="7" t="n">
        <f aca="false">SUMIFS('Work Breakdown'!$O$2:$O$122,'Work Breakdown'!$C$2:$C$122,A30,'Work Breakdown'!$G$2:$G$122,"FE")</f>
        <v>5.8</v>
      </c>
      <c r="D30" s="7" t="n">
        <f aca="false">SUMIFS('Work Breakdown'!$O$2:$O$122,'Work Breakdown'!$C$2:$C$122,A30,'Work Breakdown'!$G$2:$G$122,"QA")+SUMIFS('Work Breakdown'!$O$2:$O$122,'Work Breakdown'!$C$2:$C$122,A30,'Work Breakdown'!$G$2:$G$122,"PM")</f>
        <v>0</v>
      </c>
      <c r="E30" s="7" t="n">
        <f aca="false">SUM(B30:D30)</f>
        <v>18.075</v>
      </c>
      <c r="F30" s="8" t="n">
        <f aca="false">E30*Assumptions!$B$3</f>
        <v>72.3</v>
      </c>
      <c r="G30" s="7" t="n">
        <f aca="false">SUMIFS('Work Breakdown'!$O$2:$O$122,'Work Breakdown'!$C$2:$C$122,A30,'Work Breakdown'!$R$2:$R$122,"Done")</f>
        <v>0</v>
      </c>
      <c r="H30" s="9" t="n">
        <f aca="false">IF(E30=0,0,G30/E30)</f>
        <v>0</v>
      </c>
      <c r="I30" s="4"/>
    </row>
    <row r="31" customFormat="false" ht="15" hidden="false" customHeight="true" outlineLevel="0" collapsed="false">
      <c r="A31" s="4" t="s">
        <v>44</v>
      </c>
      <c r="B31" s="7" t="n">
        <f aca="false">SUMIFS('Work Breakdown'!$O$2:$O$122,'Work Breakdown'!$C$2:$C$122,A31,'Work Breakdown'!$G$2:$G$122,"BE")</f>
        <v>3.6</v>
      </c>
      <c r="C31" s="7" t="n">
        <f aca="false">SUMIFS('Work Breakdown'!$O$2:$O$122,'Work Breakdown'!$C$2:$C$122,A31,'Work Breakdown'!$G$2:$G$122,"FE")</f>
        <v>3.3</v>
      </c>
      <c r="D31" s="7" t="n">
        <f aca="false">SUMIFS('Work Breakdown'!$O$2:$O$122,'Work Breakdown'!$C$2:$C$122,A31,'Work Breakdown'!$G$2:$G$122,"QA")+SUMIFS('Work Breakdown'!$O$2:$O$122,'Work Breakdown'!$C$2:$C$122,A31,'Work Breakdown'!$G$2:$G$122,"PM")</f>
        <v>0</v>
      </c>
      <c r="E31" s="7" t="n">
        <f aca="false">SUM(B31:D31)</f>
        <v>6.9</v>
      </c>
      <c r="F31" s="8" t="n">
        <f aca="false">E31*Assumptions!$B$3</f>
        <v>27.6</v>
      </c>
      <c r="G31" s="7" t="n">
        <f aca="false">SUMIFS('Work Breakdown'!$O$2:$O$122,'Work Breakdown'!$C$2:$C$122,A31,'Work Breakdown'!$R$2:$R$122,"Done")</f>
        <v>0</v>
      </c>
      <c r="H31" s="9" t="n">
        <f aca="false">IF(E31=0,0,G31/E31)</f>
        <v>0</v>
      </c>
      <c r="I31" s="4"/>
    </row>
    <row r="32" customFormat="false" ht="15" hidden="false" customHeight="true" outlineLevel="0" collapsed="false">
      <c r="A32" s="4" t="s">
        <v>45</v>
      </c>
      <c r="B32" s="7" t="n">
        <f aca="false">SUMIFS('Work Breakdown'!$O$2:$O$122,'Work Breakdown'!$C$2:$C$122,A32,'Work Breakdown'!$G$2:$G$122,"BE")</f>
        <v>2.4</v>
      </c>
      <c r="C32" s="7" t="n">
        <f aca="false">SUMIFS('Work Breakdown'!$O$2:$O$122,'Work Breakdown'!$C$2:$C$122,A32,'Work Breakdown'!$G$2:$G$122,"FE")</f>
        <v>2.2</v>
      </c>
      <c r="D32" s="7" t="n">
        <f aca="false">SUMIFS('Work Breakdown'!$O$2:$O$122,'Work Breakdown'!$C$2:$C$122,A32,'Work Breakdown'!$G$2:$G$122,"QA")+SUMIFS('Work Breakdown'!$O$2:$O$122,'Work Breakdown'!$C$2:$C$122,A32,'Work Breakdown'!$G$2:$G$122,"PM")</f>
        <v>0</v>
      </c>
      <c r="E32" s="7" t="n">
        <f aca="false">SUM(B32:D32)</f>
        <v>4.6</v>
      </c>
      <c r="F32" s="8" t="n">
        <f aca="false">E32*Assumptions!$B$3</f>
        <v>18.4</v>
      </c>
      <c r="G32" s="7" t="n">
        <f aca="false">SUMIFS('Work Breakdown'!$O$2:$O$122,'Work Breakdown'!$C$2:$C$122,A32,'Work Breakdown'!$R$2:$R$122,"Done")</f>
        <v>0</v>
      </c>
      <c r="H32" s="9" t="n">
        <f aca="false">IF(E32=0,0,G32/E32)</f>
        <v>0</v>
      </c>
      <c r="I32" s="4"/>
    </row>
    <row r="33" customFormat="false" ht="15" hidden="false" customHeight="true" outlineLevel="0" collapsed="false">
      <c r="A33" s="4" t="s">
        <v>46</v>
      </c>
      <c r="B33" s="7" t="n">
        <f aca="false">SUMIFS('Work Breakdown'!$O$2:$O$122,'Work Breakdown'!$C$2:$C$122,A33,'Work Breakdown'!$G$2:$G$122,"BE")</f>
        <v>3.5</v>
      </c>
      <c r="C33" s="7" t="n">
        <f aca="false">SUMIFS('Work Breakdown'!$O$2:$O$122,'Work Breakdown'!$C$2:$C$122,A33,'Work Breakdown'!$G$2:$G$122,"FE")</f>
        <v>2.4</v>
      </c>
      <c r="D33" s="7" t="n">
        <f aca="false">SUMIFS('Work Breakdown'!$O$2:$O$122,'Work Breakdown'!$C$2:$C$122,A33,'Work Breakdown'!$G$2:$G$122,"QA")+SUMIFS('Work Breakdown'!$O$2:$O$122,'Work Breakdown'!$C$2:$C$122,A33,'Work Breakdown'!$G$2:$G$122,"PM")</f>
        <v>1.1</v>
      </c>
      <c r="E33" s="7" t="n">
        <f aca="false">SUM(B33:D33)</f>
        <v>7</v>
      </c>
      <c r="F33" s="8" t="n">
        <f aca="false">E33*Assumptions!$B$3</f>
        <v>28</v>
      </c>
      <c r="G33" s="7" t="n">
        <f aca="false">SUMIFS('Work Breakdown'!$O$2:$O$122,'Work Breakdown'!$C$2:$C$122,A33,'Work Breakdown'!$R$2:$R$122,"Done")</f>
        <v>0</v>
      </c>
      <c r="H33" s="9" t="n">
        <f aca="false">IF(E33=0,0,G33/E33)</f>
        <v>0</v>
      </c>
      <c r="I33" s="4"/>
    </row>
    <row r="34" customFormat="false" ht="15" hidden="false" customHeight="true" outlineLevel="0" collapsed="false">
      <c r="A34" s="4" t="s">
        <v>47</v>
      </c>
      <c r="B34" s="7" t="n">
        <f aca="false">SUMIFS('Work Breakdown'!$O$2:$O$122,'Work Breakdown'!$C$2:$C$122,A34,'Work Breakdown'!$G$2:$G$122,"BE")</f>
        <v>11.8</v>
      </c>
      <c r="C34" s="7" t="n">
        <f aca="false">SUMIFS('Work Breakdown'!$O$2:$O$122,'Work Breakdown'!$C$2:$C$122,A34,'Work Breakdown'!$G$2:$G$122,"FE")</f>
        <v>1.8</v>
      </c>
      <c r="D34" s="7" t="n">
        <f aca="false">SUMIFS('Work Breakdown'!$O$2:$O$122,'Work Breakdown'!$C$2:$C$122,A34,'Work Breakdown'!$G$2:$G$122,"QA")+SUMIFS('Work Breakdown'!$O$2:$O$122,'Work Breakdown'!$C$2:$C$122,A34,'Work Breakdown'!$G$2:$G$122,"PM")</f>
        <v>0</v>
      </c>
      <c r="E34" s="7" t="n">
        <f aca="false">SUM(B34:D34)</f>
        <v>13.6</v>
      </c>
      <c r="F34" s="8" t="n">
        <f aca="false">E34*Assumptions!$B$3</f>
        <v>54.4</v>
      </c>
      <c r="G34" s="7" t="n">
        <f aca="false">SUMIFS('Work Breakdown'!$O$2:$O$122,'Work Breakdown'!$C$2:$C$122,A34,'Work Breakdown'!$R$2:$R$122,"Done")</f>
        <v>0</v>
      </c>
      <c r="H34" s="9" t="n">
        <f aca="false">IF(E34=0,0,G34/E34)</f>
        <v>0</v>
      </c>
      <c r="I34" s="4"/>
    </row>
    <row r="35" customFormat="false" ht="15" hidden="false" customHeight="true" outlineLevel="0" collapsed="false">
      <c r="A35" s="4" t="s">
        <v>48</v>
      </c>
      <c r="B35" s="7" t="n">
        <f aca="false">SUMIFS('Work Breakdown'!$O$2:$O$122,'Work Breakdown'!$C$2:$C$122,A35,'Work Breakdown'!$G$2:$G$122,"BE")</f>
        <v>13.3</v>
      </c>
      <c r="C35" s="7" t="n">
        <f aca="false">SUMIFS('Work Breakdown'!$O$2:$O$122,'Work Breakdown'!$C$2:$C$122,A35,'Work Breakdown'!$G$2:$G$122,"FE")</f>
        <v>4.8</v>
      </c>
      <c r="D35" s="7" t="n">
        <f aca="false">SUMIFS('Work Breakdown'!$O$2:$O$122,'Work Breakdown'!$C$2:$C$122,A35,'Work Breakdown'!$G$2:$G$122,"QA")+SUMIFS('Work Breakdown'!$O$2:$O$122,'Work Breakdown'!$C$2:$C$122,A35,'Work Breakdown'!$G$2:$G$122,"PM")</f>
        <v>1.2</v>
      </c>
      <c r="E35" s="7" t="n">
        <f aca="false">SUM(B35:D35)</f>
        <v>19.3</v>
      </c>
      <c r="F35" s="8" t="n">
        <f aca="false">E35*Assumptions!$B$3</f>
        <v>77.2</v>
      </c>
      <c r="G35" s="7" t="n">
        <f aca="false">SUMIFS('Work Breakdown'!$O$2:$O$122,'Work Breakdown'!$C$2:$C$122,A35,'Work Breakdown'!$R$2:$R$122,"Done")</f>
        <v>0</v>
      </c>
      <c r="H35" s="9" t="n">
        <f aca="false">IF(E35=0,0,G35/E35)</f>
        <v>0</v>
      </c>
      <c r="I35" s="4"/>
    </row>
    <row r="36" customFormat="false" ht="15" hidden="false" customHeight="true" outlineLevel="0" collapsed="false">
      <c r="A36" s="4" t="s">
        <v>49</v>
      </c>
      <c r="B36" s="7" t="n">
        <f aca="false">SUMIFS('Work Breakdown'!$O$2:$O$122,'Work Breakdown'!$C$2:$C$122,A36,'Work Breakdown'!$G$2:$G$122,"BE")</f>
        <v>18.65</v>
      </c>
      <c r="C36" s="7" t="n">
        <f aca="false">SUMIFS('Work Breakdown'!$O$2:$O$122,'Work Breakdown'!$C$2:$C$122,A36,'Work Breakdown'!$G$2:$G$122,"FE")</f>
        <v>1.65</v>
      </c>
      <c r="D36" s="7" t="n">
        <f aca="false">SUMIFS('Work Breakdown'!$O$2:$O$122,'Work Breakdown'!$C$2:$C$122,A36,'Work Breakdown'!$G$2:$G$122,"QA")+SUMIFS('Work Breakdown'!$O$2:$O$122,'Work Breakdown'!$C$2:$C$122,A36,'Work Breakdown'!$G$2:$G$122,"PM")</f>
        <v>0.675</v>
      </c>
      <c r="E36" s="7" t="n">
        <f aca="false">SUM(B36:D36)</f>
        <v>20.975</v>
      </c>
      <c r="F36" s="8" t="n">
        <f aca="false">E36*Assumptions!$B$3</f>
        <v>83.9</v>
      </c>
      <c r="G36" s="7" t="n">
        <f aca="false">SUMIFS('Work Breakdown'!$O$2:$O$122,'Work Breakdown'!$C$2:$C$122,A36,'Work Breakdown'!$R$2:$R$122,"Done")</f>
        <v>0</v>
      </c>
      <c r="H36" s="9" t="n">
        <f aca="false">IF(E36=0,0,G36/E36)</f>
        <v>0</v>
      </c>
      <c r="I36" s="4"/>
    </row>
    <row r="37" customFormat="false" ht="15" hidden="false" customHeight="true" outlineLevel="0" collapsed="false">
      <c r="A37" s="4" t="s">
        <v>50</v>
      </c>
      <c r="B37" s="7" t="n">
        <f aca="false">SUMIFS('Work Breakdown'!$O$2:$O$122,'Work Breakdown'!$C$2:$C$122,A37,'Work Breakdown'!$G$2:$G$122,"BE")</f>
        <v>6.25</v>
      </c>
      <c r="C37" s="7" t="n">
        <f aca="false">SUMIFS('Work Breakdown'!$O$2:$O$122,'Work Breakdown'!$C$2:$C$122,A37,'Work Breakdown'!$G$2:$G$122,"FE")</f>
        <v>2.95</v>
      </c>
      <c r="D37" s="7" t="n">
        <f aca="false">SUMIFS('Work Breakdown'!$O$2:$O$122,'Work Breakdown'!$C$2:$C$122,A37,'Work Breakdown'!$G$2:$G$122,"QA")+SUMIFS('Work Breakdown'!$O$2:$O$122,'Work Breakdown'!$C$2:$C$122,A37,'Work Breakdown'!$G$2:$G$122,"PM")</f>
        <v>2.475</v>
      </c>
      <c r="E37" s="7" t="n">
        <f aca="false">SUM(B37:D37)</f>
        <v>11.675</v>
      </c>
      <c r="F37" s="8" t="n">
        <f aca="false">E37*Assumptions!$B$3</f>
        <v>46.7</v>
      </c>
      <c r="G37" s="7" t="n">
        <f aca="false">SUMIFS('Work Breakdown'!$O$2:$O$122,'Work Breakdown'!$C$2:$C$122,A37,'Work Breakdown'!$R$2:$R$122,"Done")</f>
        <v>0</v>
      </c>
      <c r="H37" s="9" t="n">
        <f aca="false">IF(E37=0,0,G37/E37)</f>
        <v>0</v>
      </c>
      <c r="I37" s="4"/>
    </row>
    <row r="38" customFormat="false" ht="15" hidden="false" customHeight="true" outlineLevel="0" collapsed="false">
      <c r="A38" s="4" t="s">
        <v>51</v>
      </c>
      <c r="B38" s="7" t="n">
        <f aca="false">SUMIFS('Work Breakdown'!$O$2:$O$122,'Work Breakdown'!$C$2:$C$122,A38,'Work Breakdown'!$G$2:$G$122,"BE")</f>
        <v>6.4</v>
      </c>
      <c r="C38" s="7" t="n">
        <f aca="false">SUMIFS('Work Breakdown'!$O$2:$O$122,'Work Breakdown'!$C$2:$C$122,A38,'Work Breakdown'!$G$2:$G$122,"FE")</f>
        <v>0</v>
      </c>
      <c r="D38" s="7" t="n">
        <f aca="false">SUMIFS('Work Breakdown'!$O$2:$O$122,'Work Breakdown'!$C$2:$C$122,A38,'Work Breakdown'!$G$2:$G$122,"QA")+SUMIFS('Work Breakdown'!$O$2:$O$122,'Work Breakdown'!$C$2:$C$122,A38,'Work Breakdown'!$G$2:$G$122,"PM")</f>
        <v>0</v>
      </c>
      <c r="E38" s="7" t="n">
        <f aca="false">SUM(B38:D38)</f>
        <v>6.4</v>
      </c>
      <c r="F38" s="8" t="n">
        <f aca="false">E38*Assumptions!$B$3</f>
        <v>25.6</v>
      </c>
      <c r="G38" s="7" t="n">
        <f aca="false">SUMIFS('Work Breakdown'!$O$2:$O$122,'Work Breakdown'!$C$2:$C$122,A38,'Work Breakdown'!$R$2:$R$122,"Done")</f>
        <v>0</v>
      </c>
      <c r="H38" s="9" t="n">
        <f aca="false">IF(E38=0,0,G38/E38)</f>
        <v>0</v>
      </c>
      <c r="I38" s="4"/>
    </row>
    <row r="39" customFormat="false" ht="15" hidden="false" customHeight="true" outlineLevel="0" collapsed="false">
      <c r="A39" s="4" t="s">
        <v>52</v>
      </c>
      <c r="B39" s="7" t="n">
        <f aca="false">SUMIFS('Work Breakdown'!$O$2:$O$122,'Work Breakdown'!$C$2:$C$122,A39,'Work Breakdown'!$G$2:$G$122,"BE")</f>
        <v>8.7</v>
      </c>
      <c r="C39" s="7" t="n">
        <f aca="false">SUMIFS('Work Breakdown'!$O$2:$O$122,'Work Breakdown'!$C$2:$C$122,A39,'Work Breakdown'!$G$2:$G$122,"FE")</f>
        <v>6.6</v>
      </c>
      <c r="D39" s="7" t="n">
        <f aca="false">SUMIFS('Work Breakdown'!$O$2:$O$122,'Work Breakdown'!$C$2:$C$122,A39,'Work Breakdown'!$G$2:$G$122,"QA")+SUMIFS('Work Breakdown'!$O$2:$O$122,'Work Breakdown'!$C$2:$C$122,A39,'Work Breakdown'!$G$2:$G$122,"PM")</f>
        <v>0</v>
      </c>
      <c r="E39" s="7" t="n">
        <f aca="false">SUM(B39:D39)</f>
        <v>15.3</v>
      </c>
      <c r="F39" s="8" t="n">
        <f aca="false">E39*Assumptions!$B$3</f>
        <v>61.2</v>
      </c>
      <c r="G39" s="7" t="n">
        <f aca="false">SUMIFS('Work Breakdown'!$O$2:$O$122,'Work Breakdown'!$C$2:$C$122,A39,'Work Breakdown'!$R$2:$R$122,"Done")</f>
        <v>0</v>
      </c>
      <c r="H39" s="9" t="n">
        <f aca="false">IF(E39=0,0,G39/E39)</f>
        <v>0</v>
      </c>
      <c r="I39" s="4"/>
    </row>
    <row r="40" customFormat="false" ht="15" hidden="false" customHeight="true" outlineLevel="0" collapsed="false">
      <c r="A40" s="4" t="s">
        <v>53</v>
      </c>
      <c r="B40" s="7" t="n">
        <f aca="false">SUMIFS('Work Breakdown'!$O$2:$O$122,'Work Breakdown'!$C$2:$C$122,A40,'Work Breakdown'!$G$2:$G$122,"BE")</f>
        <v>4.2</v>
      </c>
      <c r="C40" s="7" t="n">
        <f aca="false">SUMIFS('Work Breakdown'!$O$2:$O$122,'Work Breakdown'!$C$2:$C$122,A40,'Work Breakdown'!$G$2:$G$122,"FE")</f>
        <v>1.1</v>
      </c>
      <c r="D40" s="7" t="n">
        <f aca="false">SUMIFS('Work Breakdown'!$O$2:$O$122,'Work Breakdown'!$C$2:$C$122,A40,'Work Breakdown'!$G$2:$G$122,"QA")+SUMIFS('Work Breakdown'!$O$2:$O$122,'Work Breakdown'!$C$2:$C$122,A40,'Work Breakdown'!$G$2:$G$122,"PM")</f>
        <v>0</v>
      </c>
      <c r="E40" s="7" t="n">
        <f aca="false">SUM(B40:D40)</f>
        <v>5.3</v>
      </c>
      <c r="F40" s="8" t="n">
        <f aca="false">E40*Assumptions!$B$3</f>
        <v>21.2</v>
      </c>
      <c r="G40" s="7" t="n">
        <f aca="false">SUMIFS('Work Breakdown'!$O$2:$O$122,'Work Breakdown'!$C$2:$C$122,A40,'Work Breakdown'!$R$2:$R$122,"Done")</f>
        <v>0</v>
      </c>
      <c r="H40" s="9" t="n">
        <f aca="false">IF(E40=0,0,G40/E40)</f>
        <v>0</v>
      </c>
      <c r="I40" s="4"/>
    </row>
    <row r="41" customFormat="false" ht="15" hidden="false" customHeight="true" outlineLevel="0" collapsed="false">
      <c r="A41" s="4" t="s">
        <v>54</v>
      </c>
      <c r="B41" s="7" t="n">
        <f aca="false">SUMIFS('Work Breakdown'!$O$2:$O$122,'Work Breakdown'!$C$2:$C$122,A41,'Work Breakdown'!$G$2:$G$122,"BE")</f>
        <v>3</v>
      </c>
      <c r="C41" s="7" t="n">
        <f aca="false">SUMIFS('Work Breakdown'!$O$2:$O$122,'Work Breakdown'!$C$2:$C$122,A41,'Work Breakdown'!$G$2:$G$122,"FE")</f>
        <v>0</v>
      </c>
      <c r="D41" s="7" t="n">
        <f aca="false">SUMIFS('Work Breakdown'!$O$2:$O$122,'Work Breakdown'!$C$2:$C$122,A41,'Work Breakdown'!$G$2:$G$122,"QA")+SUMIFS('Work Breakdown'!$O$2:$O$122,'Work Breakdown'!$C$2:$C$122,A41,'Work Breakdown'!$G$2:$G$122,"PM")</f>
        <v>5.7</v>
      </c>
      <c r="E41" s="7" t="n">
        <f aca="false">SUM(B41:D41)</f>
        <v>8.7</v>
      </c>
      <c r="F41" s="8" t="n">
        <f aca="false">E41*Assumptions!$B$3</f>
        <v>34.8</v>
      </c>
      <c r="G41" s="7" t="n">
        <f aca="false">SUMIFS('Work Breakdown'!$O$2:$O$122,'Work Breakdown'!$C$2:$C$122,A41,'Work Breakdown'!$R$2:$R$122,"Done")</f>
        <v>0</v>
      </c>
      <c r="H41" s="9" t="n">
        <f aca="false">IF(E41=0,0,G41/E41)</f>
        <v>0</v>
      </c>
      <c r="I41" s="4"/>
    </row>
    <row r="42" customFormat="false" ht="15" hidden="false" customHeight="true" outlineLevel="0" collapsed="false">
      <c r="A42" s="4" t="s">
        <v>55</v>
      </c>
      <c r="B42" s="7" t="n">
        <f aca="false">SUMIFS('Work Breakdown'!$O$2:$O$122,'Work Breakdown'!$C$2:$C$122,A42,'Work Breakdown'!$G$2:$G$122,"BE")</f>
        <v>4.8</v>
      </c>
      <c r="C42" s="7" t="n">
        <f aca="false">SUMIFS('Work Breakdown'!$O$2:$O$122,'Work Breakdown'!$C$2:$C$122,A42,'Work Breakdown'!$G$2:$G$122,"FE")</f>
        <v>3</v>
      </c>
      <c r="D42" s="7" t="n">
        <f aca="false">SUMIFS('Work Breakdown'!$O$2:$O$122,'Work Breakdown'!$C$2:$C$122,A42,'Work Breakdown'!$G$2:$G$122,"QA")+SUMIFS('Work Breakdown'!$O$2:$O$122,'Work Breakdown'!$C$2:$C$122,A42,'Work Breakdown'!$G$2:$G$122,"PM")</f>
        <v>0.675</v>
      </c>
      <c r="E42" s="7" t="n">
        <f aca="false">SUM(B42:D42)</f>
        <v>8.475</v>
      </c>
      <c r="F42" s="8" t="n">
        <f aca="false">E42*Assumptions!$B$3</f>
        <v>33.9</v>
      </c>
      <c r="G42" s="7" t="n">
        <f aca="false">SUMIFS('Work Breakdown'!$O$2:$O$122,'Work Breakdown'!$C$2:$C$122,A42,'Work Breakdown'!$R$2:$R$122,"Done")</f>
        <v>0</v>
      </c>
      <c r="H42" s="9" t="n">
        <f aca="false">IF(E42=0,0,G42/E42)</f>
        <v>0</v>
      </c>
      <c r="I42" s="4"/>
    </row>
    <row r="43" customFormat="false" ht="15" hidden="false" customHeight="true" outlineLevel="0" collapsed="false">
      <c r="A43" s="4" t="s">
        <v>56</v>
      </c>
      <c r="B43" s="7" t="n">
        <f aca="false">SUMIFS('Work Breakdown'!$O$2:$O$122,'Work Breakdown'!$C$2:$C$122,A43,'Work Breakdown'!$G$2:$G$122,"BE")</f>
        <v>8.55</v>
      </c>
      <c r="C43" s="7" t="n">
        <f aca="false">SUMIFS('Work Breakdown'!$O$2:$O$122,'Work Breakdown'!$C$2:$C$122,A43,'Work Breakdown'!$G$2:$G$122,"FE")</f>
        <v>3.6</v>
      </c>
      <c r="D43" s="7" t="n">
        <f aca="false">SUMIFS('Work Breakdown'!$O$2:$O$122,'Work Breakdown'!$C$2:$C$122,A43,'Work Breakdown'!$G$2:$G$122,"QA")+SUMIFS('Work Breakdown'!$O$2:$O$122,'Work Breakdown'!$C$2:$C$122,A43,'Work Breakdown'!$G$2:$G$122,"PM")</f>
        <v>0</v>
      </c>
      <c r="E43" s="7" t="n">
        <f aca="false">SUM(B43:D43)</f>
        <v>12.15</v>
      </c>
      <c r="F43" s="8" t="n">
        <f aca="false">E43*Assumptions!$B$3</f>
        <v>48.6</v>
      </c>
      <c r="G43" s="7" t="n">
        <f aca="false">SUMIFS('Work Breakdown'!$O$2:$O$122,'Work Breakdown'!$C$2:$C$122,A43,'Work Breakdown'!$R$2:$R$122,"Done")</f>
        <v>0</v>
      </c>
      <c r="H43" s="9" t="n">
        <f aca="false">IF(E43=0,0,G43/E43)</f>
        <v>0</v>
      </c>
      <c r="I43" s="4"/>
    </row>
    <row r="44" customFormat="false" ht="15" hidden="false" customHeight="true" outlineLevel="0" collapsed="false">
      <c r="A44" s="4" t="s">
        <v>57</v>
      </c>
      <c r="B44" s="7" t="n">
        <f aca="false">SUMIFS('Work Breakdown'!$O$2:$O$122,'Work Breakdown'!$C$2:$C$122,A44,'Work Breakdown'!$G$2:$G$122,"BE")</f>
        <v>10.8</v>
      </c>
      <c r="C44" s="7" t="n">
        <f aca="false">SUMIFS('Work Breakdown'!$O$2:$O$122,'Work Breakdown'!$C$2:$C$122,A44,'Work Breakdown'!$G$2:$G$122,"FE")</f>
        <v>0.55</v>
      </c>
      <c r="D44" s="7" t="n">
        <f aca="false">SUMIFS('Work Breakdown'!$O$2:$O$122,'Work Breakdown'!$C$2:$C$122,A44,'Work Breakdown'!$G$2:$G$122,"QA")+SUMIFS('Work Breakdown'!$O$2:$O$122,'Work Breakdown'!$C$2:$C$122,A44,'Work Breakdown'!$G$2:$G$122,"PM")</f>
        <v>6.15</v>
      </c>
      <c r="E44" s="7" t="n">
        <f aca="false">SUM(B44:D44)</f>
        <v>17.5</v>
      </c>
      <c r="F44" s="8" t="n">
        <f aca="false">E44*Assumptions!$B$3</f>
        <v>70</v>
      </c>
      <c r="G44" s="7" t="n">
        <f aca="false">SUMIFS('Work Breakdown'!$O$2:$O$122,'Work Breakdown'!$C$2:$C$122,A44,'Work Breakdown'!$R$2:$R$122,"Done")</f>
        <v>0</v>
      </c>
      <c r="H44" s="9" t="n">
        <f aca="false">IF(E44=0,0,G44/E44)</f>
        <v>0</v>
      </c>
      <c r="I44" s="4"/>
    </row>
    <row r="45" customFormat="false" ht="15" hidden="false" customHeight="true" outlineLevel="0" collapsed="false">
      <c r="A45" s="10" t="s">
        <v>58</v>
      </c>
      <c r="B45" s="12" t="n">
        <f aca="false">SUM(B28:B44)</f>
        <v>133.025</v>
      </c>
      <c r="C45" s="12" t="n">
        <f aca="false">SUM(C28:C44)</f>
        <v>42.5</v>
      </c>
      <c r="D45" s="12" t="n">
        <f aca="false">SUM(D28:D44)</f>
        <v>17.975</v>
      </c>
      <c r="E45" s="12" t="n">
        <f aca="false">SUM(E28:E44)</f>
        <v>193.5</v>
      </c>
      <c r="F45" s="13" t="n">
        <f aca="false">SUM(F28:F44)</f>
        <v>774</v>
      </c>
      <c r="G45" s="12" t="n">
        <f aca="false">SUM(G28:G44)</f>
        <v>2.2</v>
      </c>
      <c r="H45" s="9" t="n">
        <f aca="false">IF(E45=0,0,G45/E45)</f>
        <v>0.0113695090439277</v>
      </c>
      <c r="I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</row>
    <row r="47" customFormat="false" ht="15" hidden="false" customHeight="true" outlineLevel="0" collapsed="false">
      <c r="A47" s="5" t="s">
        <v>59</v>
      </c>
      <c r="B47" s="4"/>
      <c r="C47" s="4"/>
      <c r="D47" s="4"/>
      <c r="E47" s="4"/>
      <c r="F47" s="4"/>
      <c r="G47" s="4"/>
      <c r="H47" s="4"/>
      <c r="I47" s="4"/>
    </row>
    <row r="48" customFormat="false" ht="15" hidden="false" customHeight="true" outlineLevel="0" collapsed="false">
      <c r="A48" s="4" t="s">
        <v>60</v>
      </c>
      <c r="B48" s="4"/>
      <c r="C48" s="4"/>
      <c r="D48" s="4"/>
      <c r="E48" s="4"/>
      <c r="F48" s="4"/>
      <c r="G48" s="4"/>
      <c r="H48" s="4"/>
      <c r="I48" s="4"/>
    </row>
    <row r="49" customFormat="false" ht="15" hidden="false" customHeight="true" outlineLevel="0" collapsed="false">
      <c r="A49" s="4" t="s">
        <v>61</v>
      </c>
      <c r="B49" s="4"/>
      <c r="C49" s="4"/>
      <c r="D49" s="4"/>
      <c r="E49" s="4"/>
      <c r="F49" s="4"/>
      <c r="G49" s="4"/>
      <c r="H49" s="4"/>
      <c r="I49" s="4"/>
    </row>
    <row r="50" customFormat="false" ht="15" hidden="false" customHeight="true" outlineLevel="0" collapsed="false">
      <c r="A50" s="4" t="s">
        <v>62</v>
      </c>
      <c r="B50" s="4"/>
      <c r="C50" s="4"/>
      <c r="D50" s="4"/>
      <c r="E50" s="4"/>
      <c r="F50" s="4"/>
      <c r="G50" s="4"/>
      <c r="H50" s="4"/>
      <c r="I5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70"/>
  </cols>
  <sheetData>
    <row r="1" customFormat="false" ht="15.75" hidden="false" customHeight="true" outlineLevel="0" collapsed="false">
      <c r="A1" s="14" t="s">
        <v>63</v>
      </c>
    </row>
    <row r="3" customFormat="false" ht="15" hidden="false" customHeight="true" outlineLevel="0" collapsed="false">
      <c r="A3" s="15" t="s">
        <v>64</v>
      </c>
      <c r="B3" s="16" t="n">
        <v>4</v>
      </c>
      <c r="C3" s="3" t="s">
        <v>65</v>
      </c>
    </row>
    <row r="4" customFormat="false" ht="15" hidden="false" customHeight="true" outlineLevel="0" collapsed="false">
      <c r="A4" s="15" t="s">
        <v>66</v>
      </c>
      <c r="B4" s="16" t="n">
        <v>10</v>
      </c>
      <c r="C4" s="3" t="s">
        <v>67</v>
      </c>
    </row>
    <row r="5" customFormat="false" ht="15" hidden="false" customHeight="true" outlineLevel="0" collapsed="false">
      <c r="A5" s="15" t="s">
        <v>68</v>
      </c>
      <c r="B5" s="16" t="n">
        <v>1</v>
      </c>
      <c r="C5" s="3" t="s">
        <v>69</v>
      </c>
    </row>
    <row r="6" customFormat="false" ht="15" hidden="false" customHeight="true" outlineLevel="0" collapsed="false">
      <c r="A6" s="15" t="s">
        <v>70</v>
      </c>
      <c r="B6" s="16" t="n">
        <v>1</v>
      </c>
      <c r="C6" s="3" t="s">
        <v>71</v>
      </c>
    </row>
    <row r="7" customFormat="false" ht="15" hidden="false" customHeight="true" outlineLevel="0" collapsed="false">
      <c r="A7" s="15" t="s">
        <v>72</v>
      </c>
      <c r="B7" s="17" t="n">
        <v>0.4</v>
      </c>
      <c r="C7" s="3" t="s">
        <v>73</v>
      </c>
    </row>
    <row r="8" customFormat="false" ht="15" hidden="false" customHeight="true" outlineLevel="0" collapsed="false">
      <c r="A8" s="15" t="s">
        <v>74</v>
      </c>
      <c r="B8" s="16" t="n">
        <v>2</v>
      </c>
      <c r="C8" s="3" t="s">
        <v>75</v>
      </c>
    </row>
    <row r="9" customFormat="false" ht="15" hidden="false" customHeight="true" outlineLevel="0" collapsed="false">
      <c r="A9" s="15" t="s">
        <v>76</v>
      </c>
      <c r="B9" s="16" t="n">
        <v>4</v>
      </c>
      <c r="C9" s="3" t="s">
        <v>77</v>
      </c>
    </row>
    <row r="11" customFormat="false" ht="15" hidden="false" customHeight="true" outlineLevel="0" collapsed="false">
      <c r="A11" s="18" t="s">
        <v>78</v>
      </c>
    </row>
    <row r="12" customFormat="false" ht="15" hidden="false" customHeight="true" outlineLevel="0" collapsed="false">
      <c r="A12" s="18" t="s">
        <v>79</v>
      </c>
      <c r="B12" s="18" t="s">
        <v>80</v>
      </c>
      <c r="C12" s="18" t="s">
        <v>81</v>
      </c>
    </row>
    <row r="13" customFormat="false" ht="15" hidden="false" customHeight="true" outlineLevel="0" collapsed="false">
      <c r="A13" s="15" t="s">
        <v>82</v>
      </c>
      <c r="B13" s="17" t="n">
        <v>0</v>
      </c>
      <c r="C13" s="3" t="s">
        <v>83</v>
      </c>
    </row>
    <row r="14" customFormat="false" ht="15" hidden="false" customHeight="true" outlineLevel="0" collapsed="false">
      <c r="A14" s="15" t="s">
        <v>84</v>
      </c>
      <c r="B14" s="17" t="n">
        <v>0.1</v>
      </c>
      <c r="C14" s="3" t="s">
        <v>85</v>
      </c>
    </row>
    <row r="15" customFormat="false" ht="15" hidden="false" customHeight="true" outlineLevel="0" collapsed="false">
      <c r="A15" s="15" t="s">
        <v>86</v>
      </c>
      <c r="B15" s="17" t="n">
        <v>0.2</v>
      </c>
      <c r="C15" s="3" t="s">
        <v>87</v>
      </c>
    </row>
    <row r="16" customFormat="false" ht="15" hidden="false" customHeight="true" outlineLevel="0" collapsed="false">
      <c r="A16" s="15" t="s">
        <v>88</v>
      </c>
      <c r="B16" s="17" t="n">
        <v>0.35</v>
      </c>
      <c r="C16" s="3" t="s">
        <v>89</v>
      </c>
    </row>
    <row r="18" customFormat="false" ht="15" hidden="false" customHeight="true" outlineLevel="0" collapsed="false">
      <c r="A18" s="18" t="s">
        <v>90</v>
      </c>
    </row>
    <row r="19" customFormat="false" ht="15" hidden="false" customHeight="true" outlineLevel="0" collapsed="false">
      <c r="A19" s="15" t="s">
        <v>17</v>
      </c>
      <c r="B19" s="15" t="n">
        <f aca="false">B4*B5*2</f>
        <v>20</v>
      </c>
    </row>
    <row r="20" customFormat="false" ht="15" hidden="false" customHeight="true" outlineLevel="0" collapsed="false">
      <c r="A20" s="15" t="s">
        <v>18</v>
      </c>
      <c r="B20" s="15" t="n">
        <f aca="false">B4*B6*B7*2</f>
        <v>8</v>
      </c>
    </row>
    <row r="21" customFormat="false" ht="15" hidden="false" customHeight="true" outlineLevel="0" collapsed="false">
      <c r="A21" s="15" t="s">
        <v>19</v>
      </c>
      <c r="B21" s="15" t="n">
        <f aca="false">B8</f>
        <v>2</v>
      </c>
    </row>
    <row r="22" customFormat="false" ht="15" hidden="false" customHeight="true" outlineLevel="0" collapsed="false">
      <c r="A22" s="15" t="s">
        <v>20</v>
      </c>
      <c r="B22" s="15" t="n">
        <f aca="false">B9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26"/>
    <col collapsed="false" customWidth="true" hidden="false" outlineLevel="0" max="4" min="4" style="1" width="18"/>
    <col collapsed="false" customWidth="true" hidden="false" outlineLevel="0" max="5" min="5" style="1" width="9"/>
    <col collapsed="false" customWidth="true" hidden="false" outlineLevel="0" max="6" min="6" style="1" width="70"/>
    <col collapsed="false" customWidth="true" hidden="false" outlineLevel="0" max="7" min="7" style="1" width="7"/>
    <col collapsed="false" customWidth="true" hidden="false" outlineLevel="0" max="8" min="8" style="1" width="16"/>
    <col collapsed="false" customWidth="true" hidden="false" outlineLevel="0" max="9" min="9" style="1" width="8"/>
    <col collapsed="false" customWidth="true" hidden="false" outlineLevel="0" max="11" min="10" style="1" width="16"/>
    <col collapsed="false" customWidth="true" hidden="false" outlineLevel="0" max="12" min="12" style="1" width="9"/>
    <col collapsed="false" customWidth="true" hidden="false" outlineLevel="0" max="13" min="13" style="1" width="6"/>
    <col collapsed="false" customWidth="true" hidden="false" outlineLevel="0" max="16" min="14" style="1" width="11"/>
    <col collapsed="false" customWidth="true" hidden="false" outlineLevel="0" max="17" min="17" style="1" width="14"/>
    <col collapsed="false" customWidth="true" hidden="false" outlineLevel="0" max="18" min="18" style="1" width="13"/>
    <col collapsed="false" customWidth="true" hidden="false" outlineLevel="0" max="19" min="19" style="1" width="40"/>
  </cols>
  <sheetData>
    <row r="1" customFormat="false" ht="30" hidden="false" customHeight="true" outlineLevel="0" collapsed="false">
      <c r="A1" s="19" t="s">
        <v>91</v>
      </c>
      <c r="B1" s="19" t="s">
        <v>3</v>
      </c>
      <c r="C1" s="19" t="s">
        <v>35</v>
      </c>
      <c r="D1" s="19" t="s">
        <v>92</v>
      </c>
      <c r="E1" s="19" t="s">
        <v>93</v>
      </c>
      <c r="F1" s="19" t="s">
        <v>94</v>
      </c>
      <c r="G1" s="19" t="s">
        <v>13</v>
      </c>
      <c r="H1" s="19" t="s">
        <v>95</v>
      </c>
      <c r="I1" s="19" t="s">
        <v>23</v>
      </c>
      <c r="J1" s="19" t="s">
        <v>96</v>
      </c>
      <c r="K1" s="19" t="s">
        <v>97</v>
      </c>
      <c r="L1" s="19" t="s">
        <v>4</v>
      </c>
      <c r="M1" s="19" t="s">
        <v>79</v>
      </c>
      <c r="N1" s="19" t="s">
        <v>80</v>
      </c>
      <c r="O1" s="19" t="s">
        <v>5</v>
      </c>
      <c r="P1" s="19" t="s">
        <v>6</v>
      </c>
      <c r="Q1" s="19" t="s">
        <v>98</v>
      </c>
      <c r="R1" s="19" t="s">
        <v>99</v>
      </c>
      <c r="S1" s="19" t="s">
        <v>100</v>
      </c>
    </row>
    <row r="2" customFormat="false" ht="26.25" hidden="false" customHeight="true" outlineLevel="0" collapsed="false">
      <c r="A2" s="20" t="n">
        <v>1</v>
      </c>
      <c r="B2" s="20" t="s">
        <v>10</v>
      </c>
      <c r="C2" s="21" t="s">
        <v>41</v>
      </c>
      <c r="D2" s="20" t="s">
        <v>101</v>
      </c>
      <c r="E2" s="20" t="s">
        <v>102</v>
      </c>
      <c r="F2" s="20" t="s">
        <v>103</v>
      </c>
      <c r="G2" s="20" t="s">
        <v>17</v>
      </c>
      <c r="H2" s="20" t="s">
        <v>104</v>
      </c>
      <c r="I2" s="20" t="s">
        <v>28</v>
      </c>
      <c r="J2" s="20" t="s">
        <v>104</v>
      </c>
      <c r="K2" s="20" t="s">
        <v>105</v>
      </c>
      <c r="L2" s="22" t="n">
        <v>0.5</v>
      </c>
      <c r="M2" s="22" t="s">
        <v>84</v>
      </c>
      <c r="N2" s="23" t="n">
        <f aca="false">INDEX(Assumptions!$B$13:$B$16,MATCH(M2,Assumptions!$A$13:$A$16,0))</f>
        <v>0.1</v>
      </c>
      <c r="O2" s="24" t="n">
        <f aca="false">L2*(1+N2)</f>
        <v>0.55</v>
      </c>
      <c r="P2" s="25" t="n">
        <f aca="false">O2*Assumptions!$B$3</f>
        <v>2.2</v>
      </c>
      <c r="Q2" s="26"/>
      <c r="R2" s="26" t="s">
        <v>106</v>
      </c>
      <c r="S2" s="20" t="s">
        <v>107</v>
      </c>
    </row>
    <row r="3" customFormat="false" ht="26.25" hidden="false" customHeight="true" outlineLevel="0" collapsed="false">
      <c r="A3" s="20" t="n">
        <v>2</v>
      </c>
      <c r="B3" s="20" t="s">
        <v>10</v>
      </c>
      <c r="C3" s="20" t="s">
        <v>41</v>
      </c>
      <c r="D3" s="20" t="s">
        <v>108</v>
      </c>
      <c r="E3" s="20" t="s">
        <v>109</v>
      </c>
      <c r="F3" s="20" t="s">
        <v>110</v>
      </c>
      <c r="G3" s="20" t="s">
        <v>17</v>
      </c>
      <c r="H3" s="20" t="s">
        <v>102</v>
      </c>
      <c r="I3" s="20" t="s">
        <v>28</v>
      </c>
      <c r="J3" s="20" t="s">
        <v>104</v>
      </c>
      <c r="K3" s="20" t="s">
        <v>111</v>
      </c>
      <c r="L3" s="22" t="n">
        <v>1</v>
      </c>
      <c r="M3" s="22" t="s">
        <v>84</v>
      </c>
      <c r="N3" s="23" t="n">
        <f aca="false">INDEX(Assumptions!$B$13:$B$16,MATCH(M3,Assumptions!$A$13:$A$16,0))</f>
        <v>0.1</v>
      </c>
      <c r="O3" s="24" t="n">
        <f aca="false">L3*(1+N3)</f>
        <v>1.1</v>
      </c>
      <c r="P3" s="25" t="n">
        <f aca="false">O3*Assumptions!$B$3</f>
        <v>4.4</v>
      </c>
      <c r="Q3" s="26"/>
      <c r="R3" s="26" t="s">
        <v>112</v>
      </c>
      <c r="S3" s="20" t="s">
        <v>113</v>
      </c>
    </row>
    <row r="4" customFormat="false" ht="26.25" hidden="false" customHeight="true" outlineLevel="0" collapsed="false">
      <c r="A4" s="20" t="n">
        <v>3</v>
      </c>
      <c r="B4" s="20" t="s">
        <v>10</v>
      </c>
      <c r="C4" s="20" t="s">
        <v>41</v>
      </c>
      <c r="D4" s="20" t="s">
        <v>114</v>
      </c>
      <c r="E4" s="20" t="s">
        <v>115</v>
      </c>
      <c r="F4" s="20" t="s">
        <v>116</v>
      </c>
      <c r="G4" s="20" t="s">
        <v>18</v>
      </c>
      <c r="H4" s="20" t="s">
        <v>102</v>
      </c>
      <c r="I4" s="20" t="s">
        <v>28</v>
      </c>
      <c r="J4" s="20" t="s">
        <v>104</v>
      </c>
      <c r="K4" s="20" t="s">
        <v>117</v>
      </c>
      <c r="L4" s="22" t="n">
        <v>1</v>
      </c>
      <c r="M4" s="22" t="s">
        <v>84</v>
      </c>
      <c r="N4" s="23" t="n">
        <f aca="false">INDEX(Assumptions!$B$13:$B$16,MATCH(M4,Assumptions!$A$13:$A$16,0))</f>
        <v>0.1</v>
      </c>
      <c r="O4" s="24" t="n">
        <f aca="false">L4*(1+N4)</f>
        <v>1.1</v>
      </c>
      <c r="P4" s="25" t="n">
        <f aca="false">O4*Assumptions!$B$3</f>
        <v>4.4</v>
      </c>
      <c r="Q4" s="26"/>
      <c r="R4" s="26" t="s">
        <v>112</v>
      </c>
      <c r="S4" s="20" t="s">
        <v>118</v>
      </c>
    </row>
    <row r="5" customFormat="false" ht="26.25" hidden="false" customHeight="true" outlineLevel="0" collapsed="false">
      <c r="A5" s="20" t="n">
        <v>4</v>
      </c>
      <c r="B5" s="20" t="s">
        <v>10</v>
      </c>
      <c r="C5" s="20" t="s">
        <v>41</v>
      </c>
      <c r="D5" s="20" t="s">
        <v>119</v>
      </c>
      <c r="E5" s="20" t="s">
        <v>120</v>
      </c>
      <c r="F5" s="20" t="s">
        <v>121</v>
      </c>
      <c r="G5" s="20" t="s">
        <v>17</v>
      </c>
      <c r="H5" s="20" t="s">
        <v>109</v>
      </c>
      <c r="I5" s="20" t="s">
        <v>28</v>
      </c>
      <c r="J5" s="20" t="s">
        <v>104</v>
      </c>
      <c r="K5" s="20" t="s">
        <v>122</v>
      </c>
      <c r="L5" s="22" t="n">
        <v>0.5</v>
      </c>
      <c r="M5" s="22" t="s">
        <v>84</v>
      </c>
      <c r="N5" s="23" t="n">
        <f aca="false">INDEX(Assumptions!$B$13:$B$16,MATCH(M5,Assumptions!$A$13:$A$16,0))</f>
        <v>0.1</v>
      </c>
      <c r="O5" s="24" t="n">
        <f aca="false">L5*(1+N5)</f>
        <v>0.55</v>
      </c>
      <c r="P5" s="25" t="n">
        <f aca="false">O5*Assumptions!$B$3</f>
        <v>2.2</v>
      </c>
      <c r="Q5" s="26"/>
      <c r="R5" s="26" t="s">
        <v>123</v>
      </c>
      <c r="S5" s="20" t="s">
        <v>124</v>
      </c>
    </row>
    <row r="6" customFormat="false" ht="26.25" hidden="false" customHeight="true" outlineLevel="0" collapsed="false">
      <c r="A6" s="20" t="n">
        <v>5</v>
      </c>
      <c r="B6" s="20" t="s">
        <v>10</v>
      </c>
      <c r="C6" s="20" t="s">
        <v>41</v>
      </c>
      <c r="D6" s="20" t="s">
        <v>125</v>
      </c>
      <c r="E6" s="20" t="s">
        <v>126</v>
      </c>
      <c r="F6" s="20" t="s">
        <v>127</v>
      </c>
      <c r="G6" s="20" t="s">
        <v>17</v>
      </c>
      <c r="H6" s="20" t="s">
        <v>109</v>
      </c>
      <c r="I6" s="20" t="s">
        <v>28</v>
      </c>
      <c r="J6" s="20" t="s">
        <v>104</v>
      </c>
      <c r="K6" s="20" t="s">
        <v>105</v>
      </c>
      <c r="L6" s="22" t="n">
        <v>1</v>
      </c>
      <c r="M6" s="22" t="s">
        <v>86</v>
      </c>
      <c r="N6" s="23" t="n">
        <f aca="false">INDEX(Assumptions!$B$13:$B$16,MATCH(M6,Assumptions!$A$13:$A$16,0))</f>
        <v>0.2</v>
      </c>
      <c r="O6" s="24" t="n">
        <f aca="false">L6*(1+N6)</f>
        <v>1.2</v>
      </c>
      <c r="P6" s="25" t="n">
        <f aca="false">O6*Assumptions!$B$3</f>
        <v>4.8</v>
      </c>
      <c r="Q6" s="26"/>
      <c r="R6" s="26" t="s">
        <v>106</v>
      </c>
      <c r="S6" s="20" t="s">
        <v>128</v>
      </c>
    </row>
    <row r="7" customFormat="false" ht="26.25" hidden="false" customHeight="true" outlineLevel="0" collapsed="false">
      <c r="A7" s="20" t="n">
        <v>6</v>
      </c>
      <c r="B7" s="20" t="s">
        <v>10</v>
      </c>
      <c r="C7" s="20" t="s">
        <v>41</v>
      </c>
      <c r="D7" s="20" t="s">
        <v>129</v>
      </c>
      <c r="E7" s="20" t="s">
        <v>130</v>
      </c>
      <c r="F7" s="20" t="s">
        <v>131</v>
      </c>
      <c r="G7" s="20" t="s">
        <v>17</v>
      </c>
      <c r="H7" s="20" t="s">
        <v>132</v>
      </c>
      <c r="I7" s="20" t="s">
        <v>28</v>
      </c>
      <c r="J7" s="20" t="s">
        <v>104</v>
      </c>
      <c r="K7" s="20" t="s">
        <v>133</v>
      </c>
      <c r="L7" s="22" t="n">
        <v>1</v>
      </c>
      <c r="M7" s="22" t="s">
        <v>86</v>
      </c>
      <c r="N7" s="23" t="n">
        <f aca="false">INDEX(Assumptions!$B$13:$B$16,MATCH(M7,Assumptions!$A$13:$A$16,0))</f>
        <v>0.2</v>
      </c>
      <c r="O7" s="24" t="n">
        <f aca="false">L7*(1+N7)</f>
        <v>1.2</v>
      </c>
      <c r="P7" s="25" t="n">
        <f aca="false">O7*Assumptions!$B$3</f>
        <v>4.8</v>
      </c>
      <c r="Q7" s="26"/>
      <c r="R7" s="26" t="s">
        <v>106</v>
      </c>
      <c r="S7" s="20" t="s">
        <v>134</v>
      </c>
    </row>
    <row r="8" customFormat="false" ht="26.25" hidden="false" customHeight="true" outlineLevel="0" collapsed="false">
      <c r="A8" s="20" t="n">
        <v>7</v>
      </c>
      <c r="B8" s="20" t="s">
        <v>10</v>
      </c>
      <c r="C8" s="20" t="s">
        <v>41</v>
      </c>
      <c r="D8" s="20" t="s">
        <v>135</v>
      </c>
      <c r="E8" s="20" t="s">
        <v>136</v>
      </c>
      <c r="F8" s="20" t="s">
        <v>137</v>
      </c>
      <c r="G8" s="20" t="s">
        <v>17</v>
      </c>
      <c r="H8" s="20" t="s">
        <v>109</v>
      </c>
      <c r="I8" s="20" t="s">
        <v>28</v>
      </c>
      <c r="J8" s="20" t="s">
        <v>138</v>
      </c>
      <c r="K8" s="20" t="s">
        <v>139</v>
      </c>
      <c r="L8" s="22" t="n">
        <v>2</v>
      </c>
      <c r="M8" s="22" t="s">
        <v>86</v>
      </c>
      <c r="N8" s="23" t="n">
        <f aca="false">INDEX(Assumptions!$B$13:$B$16,MATCH(M8,Assumptions!$A$13:$A$16,0))</f>
        <v>0.2</v>
      </c>
      <c r="O8" s="24" t="n">
        <f aca="false">L8*(1+N8)</f>
        <v>2.4</v>
      </c>
      <c r="P8" s="25" t="n">
        <f aca="false">O8*Assumptions!$B$3</f>
        <v>9.6</v>
      </c>
      <c r="Q8" s="26"/>
      <c r="R8" s="26" t="s">
        <v>106</v>
      </c>
      <c r="S8" s="20" t="s">
        <v>140</v>
      </c>
    </row>
    <row r="9" customFormat="false" ht="26.25" hidden="false" customHeight="true" outlineLevel="0" collapsed="false">
      <c r="A9" s="20" t="n">
        <v>8</v>
      </c>
      <c r="B9" s="20" t="s">
        <v>10</v>
      </c>
      <c r="C9" s="20" t="s">
        <v>41</v>
      </c>
      <c r="D9" s="20" t="s">
        <v>141</v>
      </c>
      <c r="E9" s="20" t="s">
        <v>142</v>
      </c>
      <c r="F9" s="20" t="s">
        <v>143</v>
      </c>
      <c r="G9" s="20" t="s">
        <v>18</v>
      </c>
      <c r="H9" s="20" t="s">
        <v>144</v>
      </c>
      <c r="I9" s="20" t="s">
        <v>28</v>
      </c>
      <c r="J9" s="20" t="s">
        <v>104</v>
      </c>
      <c r="K9" s="20" t="s">
        <v>145</v>
      </c>
      <c r="L9" s="22" t="n">
        <v>0.5</v>
      </c>
      <c r="M9" s="22" t="s">
        <v>84</v>
      </c>
      <c r="N9" s="23" t="n">
        <f aca="false">INDEX(Assumptions!$B$13:$B$16,MATCH(M9,Assumptions!$A$13:$A$16,0))</f>
        <v>0.1</v>
      </c>
      <c r="O9" s="24" t="n">
        <f aca="false">L9*(1+N9)</f>
        <v>0.55</v>
      </c>
      <c r="P9" s="25" t="n">
        <f aca="false">O9*Assumptions!$B$3</f>
        <v>2.2</v>
      </c>
      <c r="Q9" s="26"/>
      <c r="R9" s="26" t="s">
        <v>106</v>
      </c>
      <c r="S9" s="20" t="s">
        <v>146</v>
      </c>
    </row>
    <row r="10" customFormat="false" ht="26.25" hidden="false" customHeight="true" outlineLevel="0" collapsed="false">
      <c r="A10" s="20" t="n">
        <v>9</v>
      </c>
      <c r="B10" s="20" t="s">
        <v>10</v>
      </c>
      <c r="C10" s="20" t="s">
        <v>41</v>
      </c>
      <c r="D10" s="20" t="s">
        <v>147</v>
      </c>
      <c r="E10" s="20" t="s">
        <v>148</v>
      </c>
      <c r="F10" s="20" t="s">
        <v>149</v>
      </c>
      <c r="G10" s="20" t="s">
        <v>18</v>
      </c>
      <c r="H10" s="20" t="s">
        <v>115</v>
      </c>
      <c r="I10" s="20" t="s">
        <v>28</v>
      </c>
      <c r="J10" s="20" t="s">
        <v>150</v>
      </c>
      <c r="K10" s="20" t="s">
        <v>151</v>
      </c>
      <c r="L10" s="22" t="n">
        <v>1</v>
      </c>
      <c r="M10" s="22" t="s">
        <v>84</v>
      </c>
      <c r="N10" s="23" t="n">
        <f aca="false">INDEX(Assumptions!$B$13:$B$16,MATCH(M10,Assumptions!$A$13:$A$16,0))</f>
        <v>0.1</v>
      </c>
      <c r="O10" s="24" t="n">
        <f aca="false">L10*(1+N10)</f>
        <v>1.1</v>
      </c>
      <c r="P10" s="25" t="n">
        <f aca="false">O10*Assumptions!$B$3</f>
        <v>4.4</v>
      </c>
      <c r="Q10" s="26"/>
      <c r="R10" s="26" t="s">
        <v>106</v>
      </c>
      <c r="S10" s="20" t="s">
        <v>152</v>
      </c>
    </row>
    <row r="11" customFormat="false" ht="26.25" hidden="false" customHeight="true" outlineLevel="0" collapsed="false">
      <c r="A11" s="20" t="n">
        <v>10</v>
      </c>
      <c r="B11" s="20" t="s">
        <v>10</v>
      </c>
      <c r="C11" s="20" t="s">
        <v>41</v>
      </c>
      <c r="D11" s="20" t="s">
        <v>153</v>
      </c>
      <c r="E11" s="20" t="s">
        <v>154</v>
      </c>
      <c r="F11" s="20" t="s">
        <v>155</v>
      </c>
      <c r="G11" s="20" t="s">
        <v>17</v>
      </c>
      <c r="H11" s="20" t="s">
        <v>126</v>
      </c>
      <c r="I11" s="20" t="s">
        <v>28</v>
      </c>
      <c r="J11" s="20" t="s">
        <v>156</v>
      </c>
      <c r="K11" s="20" t="s">
        <v>157</v>
      </c>
      <c r="L11" s="22" t="n">
        <v>1</v>
      </c>
      <c r="M11" s="22" t="s">
        <v>86</v>
      </c>
      <c r="N11" s="23" t="n">
        <f aca="false">INDEX(Assumptions!$B$13:$B$16,MATCH(M11,Assumptions!$A$13:$A$16,0))</f>
        <v>0.2</v>
      </c>
      <c r="O11" s="24" t="n">
        <f aca="false">L11*(1+N11)</f>
        <v>1.2</v>
      </c>
      <c r="P11" s="25" t="n">
        <f aca="false">O11*Assumptions!$B$3</f>
        <v>4.8</v>
      </c>
      <c r="Q11" s="26"/>
      <c r="R11" s="26" t="s">
        <v>106</v>
      </c>
      <c r="S11" s="20" t="s">
        <v>158</v>
      </c>
    </row>
    <row r="12" customFormat="false" ht="26.25" hidden="false" customHeight="true" outlineLevel="0" collapsed="false">
      <c r="A12" s="20" t="n">
        <v>11</v>
      </c>
      <c r="B12" s="20" t="s">
        <v>10</v>
      </c>
      <c r="C12" s="21" t="s">
        <v>42</v>
      </c>
      <c r="D12" s="20" t="s">
        <v>159</v>
      </c>
      <c r="E12" s="20" t="s">
        <v>160</v>
      </c>
      <c r="F12" s="20" t="s">
        <v>161</v>
      </c>
      <c r="G12" s="20" t="s">
        <v>17</v>
      </c>
      <c r="H12" s="20" t="s">
        <v>109</v>
      </c>
      <c r="I12" s="20" t="s">
        <v>28</v>
      </c>
      <c r="J12" s="20" t="s">
        <v>104</v>
      </c>
      <c r="K12" s="20" t="s">
        <v>162</v>
      </c>
      <c r="L12" s="22" t="n">
        <v>2</v>
      </c>
      <c r="M12" s="22" t="s">
        <v>88</v>
      </c>
      <c r="N12" s="23" t="n">
        <f aca="false">INDEX(Assumptions!$B$13:$B$16,MATCH(M12,Assumptions!$A$13:$A$16,0))</f>
        <v>0.35</v>
      </c>
      <c r="O12" s="24" t="n">
        <f aca="false">L12*(1+N12)</f>
        <v>2.7</v>
      </c>
      <c r="P12" s="25" t="n">
        <f aca="false">O12*Assumptions!$B$3</f>
        <v>10.8</v>
      </c>
      <c r="Q12" s="26"/>
      <c r="R12" s="26" t="s">
        <v>106</v>
      </c>
      <c r="S12" s="20" t="s">
        <v>163</v>
      </c>
    </row>
    <row r="13" customFormat="false" ht="39" hidden="false" customHeight="true" outlineLevel="0" collapsed="false">
      <c r="A13" s="20" t="n">
        <v>12</v>
      </c>
      <c r="B13" s="20" t="s">
        <v>10</v>
      </c>
      <c r="C13" s="20" t="s">
        <v>42</v>
      </c>
      <c r="D13" s="20" t="s">
        <v>164</v>
      </c>
      <c r="E13" s="20" t="s">
        <v>165</v>
      </c>
      <c r="F13" s="20" t="s">
        <v>166</v>
      </c>
      <c r="G13" s="20" t="s">
        <v>17</v>
      </c>
      <c r="H13" s="20" t="s">
        <v>167</v>
      </c>
      <c r="I13" s="20" t="s">
        <v>28</v>
      </c>
      <c r="J13" s="20" t="s">
        <v>168</v>
      </c>
      <c r="K13" s="20" t="s">
        <v>169</v>
      </c>
      <c r="L13" s="22" t="n">
        <v>1</v>
      </c>
      <c r="M13" s="22" t="s">
        <v>86</v>
      </c>
      <c r="N13" s="23" t="n">
        <f aca="false">INDEX(Assumptions!$B$13:$B$16,MATCH(M13,Assumptions!$A$13:$A$16,0))</f>
        <v>0.2</v>
      </c>
      <c r="O13" s="24" t="n">
        <f aca="false">L13*(1+N13)</f>
        <v>1.2</v>
      </c>
      <c r="P13" s="25" t="n">
        <f aca="false">O13*Assumptions!$B$3</f>
        <v>4.8</v>
      </c>
      <c r="Q13" s="26"/>
      <c r="R13" s="26" t="s">
        <v>106</v>
      </c>
      <c r="S13" s="20" t="s">
        <v>170</v>
      </c>
    </row>
    <row r="14" customFormat="false" ht="26.25" hidden="false" customHeight="true" outlineLevel="0" collapsed="false">
      <c r="A14" s="20" t="n">
        <v>13</v>
      </c>
      <c r="B14" s="20" t="s">
        <v>10</v>
      </c>
      <c r="C14" s="20" t="s">
        <v>42</v>
      </c>
      <c r="D14" s="20" t="s">
        <v>171</v>
      </c>
      <c r="E14" s="20" t="s">
        <v>172</v>
      </c>
      <c r="F14" s="20" t="s">
        <v>173</v>
      </c>
      <c r="G14" s="20" t="s">
        <v>17</v>
      </c>
      <c r="H14" s="20" t="s">
        <v>174</v>
      </c>
      <c r="I14" s="20" t="s">
        <v>28</v>
      </c>
      <c r="J14" s="20" t="s">
        <v>175</v>
      </c>
      <c r="K14" s="20" t="s">
        <v>176</v>
      </c>
      <c r="L14" s="22" t="n">
        <v>2</v>
      </c>
      <c r="M14" s="22" t="s">
        <v>88</v>
      </c>
      <c r="N14" s="23" t="n">
        <f aca="false">INDEX(Assumptions!$B$13:$B$16,MATCH(M14,Assumptions!$A$13:$A$16,0))</f>
        <v>0.35</v>
      </c>
      <c r="O14" s="24" t="n">
        <f aca="false">L14*(1+N14)</f>
        <v>2.7</v>
      </c>
      <c r="P14" s="25" t="n">
        <f aca="false">O14*Assumptions!$B$3</f>
        <v>10.8</v>
      </c>
      <c r="Q14" s="26"/>
      <c r="R14" s="26" t="s">
        <v>106</v>
      </c>
      <c r="S14" s="20" t="s">
        <v>177</v>
      </c>
    </row>
    <row r="15" customFormat="false" ht="26.25" hidden="false" customHeight="true" outlineLevel="0" collapsed="false">
      <c r="A15" s="20" t="n">
        <v>14</v>
      </c>
      <c r="B15" s="20" t="s">
        <v>10</v>
      </c>
      <c r="C15" s="21" t="s">
        <v>43</v>
      </c>
      <c r="D15" s="20" t="s">
        <v>178</v>
      </c>
      <c r="E15" s="20" t="s">
        <v>179</v>
      </c>
      <c r="F15" s="20" t="s">
        <v>180</v>
      </c>
      <c r="G15" s="20" t="s">
        <v>17</v>
      </c>
      <c r="H15" s="20" t="s">
        <v>172</v>
      </c>
      <c r="I15" s="20" t="s">
        <v>28</v>
      </c>
      <c r="J15" s="20" t="s">
        <v>181</v>
      </c>
      <c r="K15" s="20" t="s">
        <v>182</v>
      </c>
      <c r="L15" s="22" t="n">
        <v>3</v>
      </c>
      <c r="M15" s="22" t="s">
        <v>88</v>
      </c>
      <c r="N15" s="23" t="n">
        <f aca="false">INDEX(Assumptions!$B$13:$B$16,MATCH(M15,Assumptions!$A$13:$A$16,0))</f>
        <v>0.35</v>
      </c>
      <c r="O15" s="24" t="n">
        <f aca="false">L15*(1+N15)</f>
        <v>4.05</v>
      </c>
      <c r="P15" s="25" t="n">
        <f aca="false">O15*Assumptions!$B$3</f>
        <v>16.2</v>
      </c>
      <c r="Q15" s="26"/>
      <c r="R15" s="26" t="s">
        <v>106</v>
      </c>
      <c r="S15" s="20" t="s">
        <v>183</v>
      </c>
    </row>
    <row r="16" customFormat="false" ht="26.25" hidden="false" customHeight="true" outlineLevel="0" collapsed="false">
      <c r="A16" s="20" t="n">
        <v>15</v>
      </c>
      <c r="B16" s="20" t="s">
        <v>10</v>
      </c>
      <c r="C16" s="20" t="s">
        <v>43</v>
      </c>
      <c r="D16" s="20" t="s">
        <v>184</v>
      </c>
      <c r="E16" s="20" t="s">
        <v>185</v>
      </c>
      <c r="F16" s="20" t="s">
        <v>186</v>
      </c>
      <c r="G16" s="20" t="s">
        <v>17</v>
      </c>
      <c r="H16" s="20" t="s">
        <v>179</v>
      </c>
      <c r="I16" s="20" t="s">
        <v>28</v>
      </c>
      <c r="J16" s="20" t="s">
        <v>187</v>
      </c>
      <c r="K16" s="20" t="s">
        <v>188</v>
      </c>
      <c r="L16" s="22" t="n">
        <v>2</v>
      </c>
      <c r="M16" s="22" t="s">
        <v>86</v>
      </c>
      <c r="N16" s="23" t="n">
        <f aca="false">INDEX(Assumptions!$B$13:$B$16,MATCH(M16,Assumptions!$A$13:$A$16,0))</f>
        <v>0.2</v>
      </c>
      <c r="O16" s="24" t="n">
        <f aca="false">L16*(1+N16)</f>
        <v>2.4</v>
      </c>
      <c r="P16" s="25" t="n">
        <f aca="false">O16*Assumptions!$B$3</f>
        <v>9.6</v>
      </c>
      <c r="Q16" s="26"/>
      <c r="R16" s="26" t="s">
        <v>106</v>
      </c>
      <c r="S16" s="20" t="s">
        <v>189</v>
      </c>
    </row>
    <row r="17" customFormat="false" ht="15" hidden="false" customHeight="true" outlineLevel="0" collapsed="false">
      <c r="A17" s="20" t="n">
        <v>16</v>
      </c>
      <c r="B17" s="20" t="s">
        <v>10</v>
      </c>
      <c r="C17" s="20" t="s">
        <v>43</v>
      </c>
      <c r="D17" s="20" t="s">
        <v>190</v>
      </c>
      <c r="E17" s="20" t="s">
        <v>191</v>
      </c>
      <c r="F17" s="20" t="s">
        <v>192</v>
      </c>
      <c r="G17" s="20" t="s">
        <v>17</v>
      </c>
      <c r="H17" s="20" t="s">
        <v>179</v>
      </c>
      <c r="I17" s="20" t="s">
        <v>28</v>
      </c>
      <c r="J17" s="20" t="s">
        <v>193</v>
      </c>
      <c r="K17" s="20" t="s">
        <v>182</v>
      </c>
      <c r="L17" s="22" t="n">
        <v>1</v>
      </c>
      <c r="M17" s="22" t="s">
        <v>84</v>
      </c>
      <c r="N17" s="23" t="n">
        <f aca="false">INDEX(Assumptions!$B$13:$B$16,MATCH(M17,Assumptions!$A$13:$A$16,0))</f>
        <v>0.1</v>
      </c>
      <c r="O17" s="24" t="n">
        <f aca="false">L17*(1+N17)</f>
        <v>1.1</v>
      </c>
      <c r="P17" s="25" t="n">
        <f aca="false">O17*Assumptions!$B$3</f>
        <v>4.4</v>
      </c>
      <c r="Q17" s="26"/>
      <c r="R17" s="26" t="s">
        <v>106</v>
      </c>
      <c r="S17" s="20" t="s">
        <v>194</v>
      </c>
    </row>
    <row r="18" customFormat="false" ht="26.25" hidden="false" customHeight="true" outlineLevel="0" collapsed="false">
      <c r="A18" s="20" t="n">
        <v>17</v>
      </c>
      <c r="B18" s="20" t="s">
        <v>10</v>
      </c>
      <c r="C18" s="20" t="s">
        <v>43</v>
      </c>
      <c r="D18" s="20" t="s">
        <v>195</v>
      </c>
      <c r="E18" s="20" t="s">
        <v>196</v>
      </c>
      <c r="F18" s="20" t="s">
        <v>197</v>
      </c>
      <c r="G18" s="20" t="s">
        <v>18</v>
      </c>
      <c r="H18" s="20" t="s">
        <v>198</v>
      </c>
      <c r="I18" s="20" t="s">
        <v>28</v>
      </c>
      <c r="J18" s="20" t="s">
        <v>199</v>
      </c>
      <c r="K18" s="20" t="s">
        <v>200</v>
      </c>
      <c r="L18" s="22" t="n">
        <v>1</v>
      </c>
      <c r="M18" s="22" t="s">
        <v>86</v>
      </c>
      <c r="N18" s="23" t="n">
        <f aca="false">INDEX(Assumptions!$B$13:$B$16,MATCH(M18,Assumptions!$A$13:$A$16,0))</f>
        <v>0.2</v>
      </c>
      <c r="O18" s="24" t="n">
        <f aca="false">L18*(1+N18)</f>
        <v>1.2</v>
      </c>
      <c r="P18" s="25" t="n">
        <f aca="false">O18*Assumptions!$B$3</f>
        <v>4.8</v>
      </c>
      <c r="Q18" s="26"/>
      <c r="R18" s="26" t="s">
        <v>106</v>
      </c>
      <c r="S18" s="20" t="s">
        <v>201</v>
      </c>
    </row>
    <row r="19" customFormat="false" ht="15" hidden="false" customHeight="true" outlineLevel="0" collapsed="false">
      <c r="A19" s="20" t="n">
        <v>18</v>
      </c>
      <c r="B19" s="20" t="s">
        <v>10</v>
      </c>
      <c r="C19" s="20" t="s">
        <v>43</v>
      </c>
      <c r="D19" s="20" t="s">
        <v>202</v>
      </c>
      <c r="E19" s="20" t="s">
        <v>203</v>
      </c>
      <c r="F19" s="20" t="s">
        <v>204</v>
      </c>
      <c r="G19" s="20" t="s">
        <v>18</v>
      </c>
      <c r="H19" s="20" t="s">
        <v>205</v>
      </c>
      <c r="I19" s="20" t="s">
        <v>28</v>
      </c>
      <c r="J19" s="20" t="s">
        <v>187</v>
      </c>
      <c r="K19" s="20" t="s">
        <v>151</v>
      </c>
      <c r="L19" s="22" t="n">
        <v>0.5</v>
      </c>
      <c r="M19" s="22" t="s">
        <v>84</v>
      </c>
      <c r="N19" s="23" t="n">
        <f aca="false">INDEX(Assumptions!$B$13:$B$16,MATCH(M19,Assumptions!$A$13:$A$16,0))</f>
        <v>0.1</v>
      </c>
      <c r="O19" s="24" t="n">
        <f aca="false">L19*(1+N19)</f>
        <v>0.55</v>
      </c>
      <c r="P19" s="25" t="n">
        <f aca="false">O19*Assumptions!$B$3</f>
        <v>2.2</v>
      </c>
      <c r="Q19" s="26"/>
      <c r="R19" s="26" t="s">
        <v>106</v>
      </c>
      <c r="S19" s="20" t="s">
        <v>206</v>
      </c>
    </row>
    <row r="20" customFormat="false" ht="26.25" hidden="false" customHeight="true" outlineLevel="0" collapsed="false">
      <c r="A20" s="20" t="n">
        <v>19</v>
      </c>
      <c r="B20" s="20" t="s">
        <v>10</v>
      </c>
      <c r="C20" s="20" t="s">
        <v>43</v>
      </c>
      <c r="D20" s="20" t="s">
        <v>207</v>
      </c>
      <c r="E20" s="20" t="s">
        <v>208</v>
      </c>
      <c r="F20" s="20" t="s">
        <v>209</v>
      </c>
      <c r="G20" s="20" t="s">
        <v>18</v>
      </c>
      <c r="H20" s="20" t="s">
        <v>203</v>
      </c>
      <c r="I20" s="20" t="s">
        <v>29</v>
      </c>
      <c r="J20" s="20" t="s">
        <v>210</v>
      </c>
      <c r="K20" s="20" t="s">
        <v>211</v>
      </c>
      <c r="L20" s="22" t="n">
        <v>1.5</v>
      </c>
      <c r="M20" s="22" t="s">
        <v>84</v>
      </c>
      <c r="N20" s="23" t="n">
        <f aca="false">INDEX(Assumptions!$B$13:$B$16,MATCH(M20,Assumptions!$A$13:$A$16,0))</f>
        <v>0.1</v>
      </c>
      <c r="O20" s="24" t="n">
        <f aca="false">L20*(1+N20)</f>
        <v>1.65</v>
      </c>
      <c r="P20" s="25" t="n">
        <f aca="false">O20*Assumptions!$B$3</f>
        <v>6.6</v>
      </c>
      <c r="Q20" s="26"/>
      <c r="R20" s="26" t="s">
        <v>106</v>
      </c>
      <c r="S20" s="20" t="s">
        <v>212</v>
      </c>
    </row>
    <row r="21" customFormat="false" ht="26.25" hidden="false" customHeight="true" outlineLevel="0" collapsed="false">
      <c r="A21" s="20" t="n">
        <v>20</v>
      </c>
      <c r="B21" s="20" t="s">
        <v>10</v>
      </c>
      <c r="C21" s="20" t="s">
        <v>43</v>
      </c>
      <c r="D21" s="20" t="s">
        <v>213</v>
      </c>
      <c r="E21" s="20" t="s">
        <v>214</v>
      </c>
      <c r="F21" s="20" t="s">
        <v>215</v>
      </c>
      <c r="G21" s="20" t="s">
        <v>17</v>
      </c>
      <c r="H21" s="20" t="s">
        <v>216</v>
      </c>
      <c r="I21" s="20" t="s">
        <v>29</v>
      </c>
      <c r="J21" s="20" t="s">
        <v>217</v>
      </c>
      <c r="K21" s="20" t="s">
        <v>218</v>
      </c>
      <c r="L21" s="22" t="n">
        <v>1.5</v>
      </c>
      <c r="M21" s="22" t="s">
        <v>88</v>
      </c>
      <c r="N21" s="23" t="n">
        <f aca="false">INDEX(Assumptions!$B$13:$B$16,MATCH(M21,Assumptions!$A$13:$A$16,0))</f>
        <v>0.35</v>
      </c>
      <c r="O21" s="24" t="n">
        <f aca="false">L21*(1+N21)</f>
        <v>2.025</v>
      </c>
      <c r="P21" s="25" t="n">
        <f aca="false">O21*Assumptions!$B$3</f>
        <v>8.1</v>
      </c>
      <c r="Q21" s="26"/>
      <c r="R21" s="26" t="s">
        <v>106</v>
      </c>
      <c r="S21" s="20" t="s">
        <v>219</v>
      </c>
    </row>
    <row r="22" customFormat="false" ht="15" hidden="false" customHeight="true" outlineLevel="0" collapsed="false">
      <c r="A22" s="20" t="n">
        <v>21</v>
      </c>
      <c r="B22" s="20" t="s">
        <v>10</v>
      </c>
      <c r="C22" s="20" t="s">
        <v>43</v>
      </c>
      <c r="D22" s="20" t="s">
        <v>220</v>
      </c>
      <c r="E22" s="20" t="s">
        <v>221</v>
      </c>
      <c r="F22" s="20" t="s">
        <v>222</v>
      </c>
      <c r="G22" s="20" t="s">
        <v>17</v>
      </c>
      <c r="H22" s="20" t="s">
        <v>179</v>
      </c>
      <c r="I22" s="20" t="s">
        <v>29</v>
      </c>
      <c r="J22" s="20" t="s">
        <v>223</v>
      </c>
      <c r="K22" s="20" t="s">
        <v>224</v>
      </c>
      <c r="L22" s="22" t="n">
        <v>2</v>
      </c>
      <c r="M22" s="22" t="s">
        <v>88</v>
      </c>
      <c r="N22" s="23" t="n">
        <f aca="false">INDEX(Assumptions!$B$13:$B$16,MATCH(M22,Assumptions!$A$13:$A$16,0))</f>
        <v>0.35</v>
      </c>
      <c r="O22" s="24" t="n">
        <f aca="false">L22*(1+N22)</f>
        <v>2.7</v>
      </c>
      <c r="P22" s="25" t="n">
        <f aca="false">O22*Assumptions!$B$3</f>
        <v>10.8</v>
      </c>
      <c r="Q22" s="26"/>
      <c r="R22" s="26" t="s">
        <v>106</v>
      </c>
      <c r="S22" s="20" t="s">
        <v>225</v>
      </c>
    </row>
    <row r="23" customFormat="false" ht="26.25" hidden="false" customHeight="true" outlineLevel="0" collapsed="false">
      <c r="A23" s="20" t="n">
        <v>22</v>
      </c>
      <c r="B23" s="20" t="s">
        <v>10</v>
      </c>
      <c r="C23" s="20" t="s">
        <v>43</v>
      </c>
      <c r="D23" s="20" t="s">
        <v>226</v>
      </c>
      <c r="E23" s="20" t="s">
        <v>227</v>
      </c>
      <c r="F23" s="20" t="s">
        <v>228</v>
      </c>
      <c r="G23" s="20" t="s">
        <v>18</v>
      </c>
      <c r="H23" s="20" t="s">
        <v>229</v>
      </c>
      <c r="I23" s="20" t="s">
        <v>29</v>
      </c>
      <c r="J23" s="20" t="s">
        <v>230</v>
      </c>
      <c r="K23" s="20" t="s">
        <v>231</v>
      </c>
      <c r="L23" s="22" t="n">
        <v>2</v>
      </c>
      <c r="M23" s="22" t="s">
        <v>86</v>
      </c>
      <c r="N23" s="23" t="n">
        <f aca="false">INDEX(Assumptions!$B$13:$B$16,MATCH(M23,Assumptions!$A$13:$A$16,0))</f>
        <v>0.2</v>
      </c>
      <c r="O23" s="24" t="n">
        <f aca="false">L23*(1+N23)</f>
        <v>2.4</v>
      </c>
      <c r="P23" s="25" t="n">
        <f aca="false">O23*Assumptions!$B$3</f>
        <v>9.6</v>
      </c>
      <c r="Q23" s="26"/>
      <c r="R23" s="26" t="s">
        <v>106</v>
      </c>
      <c r="S23" s="20" t="s">
        <v>232</v>
      </c>
    </row>
    <row r="24" customFormat="false" ht="26.25" hidden="false" customHeight="true" outlineLevel="0" collapsed="false">
      <c r="A24" s="20" t="n">
        <v>23</v>
      </c>
      <c r="B24" s="20" t="s">
        <v>10</v>
      </c>
      <c r="C24" s="21" t="s">
        <v>44</v>
      </c>
      <c r="D24" s="20" t="s">
        <v>233</v>
      </c>
      <c r="E24" s="20" t="s">
        <v>234</v>
      </c>
      <c r="F24" s="20" t="s">
        <v>235</v>
      </c>
      <c r="G24" s="20" t="s">
        <v>17</v>
      </c>
      <c r="H24" s="20" t="s">
        <v>185</v>
      </c>
      <c r="I24" s="20" t="s">
        <v>28</v>
      </c>
      <c r="J24" s="20" t="s">
        <v>236</v>
      </c>
      <c r="K24" s="20" t="s">
        <v>237</v>
      </c>
      <c r="L24" s="22" t="n">
        <v>3</v>
      </c>
      <c r="M24" s="22" t="s">
        <v>86</v>
      </c>
      <c r="N24" s="23" t="n">
        <f aca="false">INDEX(Assumptions!$B$13:$B$16,MATCH(M24,Assumptions!$A$13:$A$16,0))</f>
        <v>0.2</v>
      </c>
      <c r="O24" s="24" t="n">
        <f aca="false">L24*(1+N24)</f>
        <v>3.6</v>
      </c>
      <c r="P24" s="25" t="n">
        <f aca="false">O24*Assumptions!$B$3</f>
        <v>14.4</v>
      </c>
      <c r="Q24" s="26"/>
      <c r="R24" s="26" t="s">
        <v>106</v>
      </c>
      <c r="S24" s="20" t="s">
        <v>238</v>
      </c>
    </row>
    <row r="25" customFormat="false" ht="15" hidden="false" customHeight="true" outlineLevel="0" collapsed="false">
      <c r="A25" s="20" t="n">
        <v>24</v>
      </c>
      <c r="B25" s="20" t="s">
        <v>10</v>
      </c>
      <c r="C25" s="20" t="s">
        <v>44</v>
      </c>
      <c r="D25" s="20" t="s">
        <v>239</v>
      </c>
      <c r="E25" s="20" t="s">
        <v>240</v>
      </c>
      <c r="F25" s="20" t="s">
        <v>241</v>
      </c>
      <c r="G25" s="20" t="s">
        <v>18</v>
      </c>
      <c r="H25" s="20" t="s">
        <v>242</v>
      </c>
      <c r="I25" s="20" t="s">
        <v>28</v>
      </c>
      <c r="J25" s="20" t="s">
        <v>243</v>
      </c>
      <c r="K25" s="20" t="s">
        <v>200</v>
      </c>
      <c r="L25" s="22" t="n">
        <v>1.5</v>
      </c>
      <c r="M25" s="22" t="s">
        <v>84</v>
      </c>
      <c r="N25" s="23" t="n">
        <f aca="false">INDEX(Assumptions!$B$13:$B$16,MATCH(M25,Assumptions!$A$13:$A$16,0))</f>
        <v>0.1</v>
      </c>
      <c r="O25" s="24" t="n">
        <f aca="false">L25*(1+N25)</f>
        <v>1.65</v>
      </c>
      <c r="P25" s="25" t="n">
        <f aca="false">O25*Assumptions!$B$3</f>
        <v>6.6</v>
      </c>
      <c r="Q25" s="26"/>
      <c r="R25" s="26" t="s">
        <v>106</v>
      </c>
      <c r="S25" s="20" t="s">
        <v>244</v>
      </c>
    </row>
    <row r="26" customFormat="false" ht="15" hidden="false" customHeight="true" outlineLevel="0" collapsed="false">
      <c r="A26" s="20" t="n">
        <v>25</v>
      </c>
      <c r="B26" s="20" t="s">
        <v>10</v>
      </c>
      <c r="C26" s="20" t="s">
        <v>44</v>
      </c>
      <c r="D26" s="20" t="s">
        <v>245</v>
      </c>
      <c r="E26" s="20" t="s">
        <v>246</v>
      </c>
      <c r="F26" s="20" t="s">
        <v>247</v>
      </c>
      <c r="G26" s="20" t="s">
        <v>18</v>
      </c>
      <c r="H26" s="20" t="s">
        <v>242</v>
      </c>
      <c r="I26" s="20" t="s">
        <v>29</v>
      </c>
      <c r="J26" s="20" t="s">
        <v>248</v>
      </c>
      <c r="K26" s="20" t="s">
        <v>200</v>
      </c>
      <c r="L26" s="22" t="n">
        <v>1.5</v>
      </c>
      <c r="M26" s="22" t="s">
        <v>84</v>
      </c>
      <c r="N26" s="23" t="n">
        <f aca="false">INDEX(Assumptions!$B$13:$B$16,MATCH(M26,Assumptions!$A$13:$A$16,0))</f>
        <v>0.1</v>
      </c>
      <c r="O26" s="24" t="n">
        <f aca="false">L26*(1+N26)</f>
        <v>1.65</v>
      </c>
      <c r="P26" s="25" t="n">
        <f aca="false">O26*Assumptions!$B$3</f>
        <v>6.6</v>
      </c>
      <c r="Q26" s="26"/>
      <c r="R26" s="26" t="s">
        <v>106</v>
      </c>
      <c r="S26" s="20" t="s">
        <v>249</v>
      </c>
    </row>
    <row r="27" customFormat="false" ht="15" hidden="false" customHeight="true" outlineLevel="0" collapsed="false">
      <c r="A27" s="20" t="n">
        <v>26</v>
      </c>
      <c r="B27" s="20" t="s">
        <v>10</v>
      </c>
      <c r="C27" s="21" t="s">
        <v>45</v>
      </c>
      <c r="D27" s="20" t="s">
        <v>250</v>
      </c>
      <c r="E27" s="20" t="s">
        <v>251</v>
      </c>
      <c r="F27" s="20" t="s">
        <v>252</v>
      </c>
      <c r="G27" s="20" t="s">
        <v>17</v>
      </c>
      <c r="H27" s="20" t="s">
        <v>172</v>
      </c>
      <c r="I27" s="20" t="s">
        <v>28</v>
      </c>
      <c r="J27" s="20" t="s">
        <v>253</v>
      </c>
      <c r="K27" s="20" t="s">
        <v>254</v>
      </c>
      <c r="L27" s="22" t="n">
        <v>2</v>
      </c>
      <c r="M27" s="22" t="s">
        <v>86</v>
      </c>
      <c r="N27" s="23" t="n">
        <f aca="false">INDEX(Assumptions!$B$13:$B$16,MATCH(M27,Assumptions!$A$13:$A$16,0))</f>
        <v>0.2</v>
      </c>
      <c r="O27" s="24" t="n">
        <f aca="false">L27*(1+N27)</f>
        <v>2.4</v>
      </c>
      <c r="P27" s="25" t="n">
        <f aca="false">O27*Assumptions!$B$3</f>
        <v>9.6</v>
      </c>
      <c r="Q27" s="26"/>
      <c r="R27" s="26" t="s">
        <v>106</v>
      </c>
      <c r="S27" s="20" t="s">
        <v>255</v>
      </c>
    </row>
    <row r="28" customFormat="false" ht="26.25" hidden="false" customHeight="true" outlineLevel="0" collapsed="false">
      <c r="A28" s="20" t="n">
        <v>27</v>
      </c>
      <c r="B28" s="20" t="s">
        <v>10</v>
      </c>
      <c r="C28" s="20" t="s">
        <v>45</v>
      </c>
      <c r="D28" s="20" t="s">
        <v>256</v>
      </c>
      <c r="E28" s="20" t="s">
        <v>257</v>
      </c>
      <c r="F28" s="20" t="s">
        <v>258</v>
      </c>
      <c r="G28" s="20" t="s">
        <v>18</v>
      </c>
      <c r="H28" s="20" t="s">
        <v>259</v>
      </c>
      <c r="I28" s="20" t="s">
        <v>28</v>
      </c>
      <c r="J28" s="20" t="s">
        <v>260</v>
      </c>
      <c r="K28" s="20" t="s">
        <v>200</v>
      </c>
      <c r="L28" s="22" t="n">
        <v>1.5</v>
      </c>
      <c r="M28" s="22" t="s">
        <v>84</v>
      </c>
      <c r="N28" s="23" t="n">
        <f aca="false">INDEX(Assumptions!$B$13:$B$16,MATCH(M28,Assumptions!$A$13:$A$16,0))</f>
        <v>0.1</v>
      </c>
      <c r="O28" s="24" t="n">
        <f aca="false">L28*(1+N28)</f>
        <v>1.65</v>
      </c>
      <c r="P28" s="25" t="n">
        <f aca="false">O28*Assumptions!$B$3</f>
        <v>6.6</v>
      </c>
      <c r="Q28" s="26"/>
      <c r="R28" s="26" t="s">
        <v>106</v>
      </c>
      <c r="S28" s="20" t="s">
        <v>261</v>
      </c>
    </row>
    <row r="29" customFormat="false" ht="26.25" hidden="false" customHeight="true" outlineLevel="0" collapsed="false">
      <c r="A29" s="20" t="n">
        <v>28</v>
      </c>
      <c r="B29" s="20" t="s">
        <v>10</v>
      </c>
      <c r="C29" s="20" t="s">
        <v>45</v>
      </c>
      <c r="D29" s="20" t="s">
        <v>262</v>
      </c>
      <c r="E29" s="20" t="s">
        <v>263</v>
      </c>
      <c r="F29" s="20" t="s">
        <v>264</v>
      </c>
      <c r="G29" s="20" t="s">
        <v>18</v>
      </c>
      <c r="H29" s="20" t="s">
        <v>257</v>
      </c>
      <c r="I29" s="20" t="s">
        <v>29</v>
      </c>
      <c r="J29" s="20" t="s">
        <v>265</v>
      </c>
      <c r="K29" s="20" t="s">
        <v>200</v>
      </c>
      <c r="L29" s="22" t="n">
        <v>0.5</v>
      </c>
      <c r="M29" s="22" t="s">
        <v>84</v>
      </c>
      <c r="N29" s="23" t="n">
        <f aca="false">INDEX(Assumptions!$B$13:$B$16,MATCH(M29,Assumptions!$A$13:$A$16,0))</f>
        <v>0.1</v>
      </c>
      <c r="O29" s="24" t="n">
        <f aca="false">L29*(1+N29)</f>
        <v>0.55</v>
      </c>
      <c r="P29" s="25" t="n">
        <f aca="false">O29*Assumptions!$B$3</f>
        <v>2.2</v>
      </c>
      <c r="Q29" s="26"/>
      <c r="R29" s="26" t="s">
        <v>106</v>
      </c>
      <c r="S29" s="20" t="s">
        <v>266</v>
      </c>
    </row>
    <row r="30" customFormat="false" ht="15" hidden="false" customHeight="true" outlineLevel="0" collapsed="false">
      <c r="A30" s="20" t="n">
        <v>29</v>
      </c>
      <c r="B30" s="20" t="s">
        <v>10</v>
      </c>
      <c r="C30" s="21" t="s">
        <v>46</v>
      </c>
      <c r="D30" s="20" t="s">
        <v>267</v>
      </c>
      <c r="E30" s="20" t="s">
        <v>268</v>
      </c>
      <c r="F30" s="20" t="s">
        <v>269</v>
      </c>
      <c r="G30" s="20" t="s">
        <v>17</v>
      </c>
      <c r="H30" s="20" t="s">
        <v>270</v>
      </c>
      <c r="I30" s="20" t="s">
        <v>28</v>
      </c>
      <c r="J30" s="20" t="s">
        <v>271</v>
      </c>
      <c r="K30" s="20" t="s">
        <v>237</v>
      </c>
      <c r="L30" s="22" t="n">
        <v>2</v>
      </c>
      <c r="M30" s="22" t="s">
        <v>86</v>
      </c>
      <c r="N30" s="23" t="n">
        <f aca="false">INDEX(Assumptions!$B$13:$B$16,MATCH(M30,Assumptions!$A$13:$A$16,0))</f>
        <v>0.2</v>
      </c>
      <c r="O30" s="24" t="n">
        <f aca="false">L30*(1+N30)</f>
        <v>2.4</v>
      </c>
      <c r="P30" s="25" t="n">
        <f aca="false">O30*Assumptions!$B$3</f>
        <v>9.6</v>
      </c>
      <c r="Q30" s="26"/>
      <c r="R30" s="26" t="s">
        <v>106</v>
      </c>
      <c r="S30" s="20" t="s">
        <v>272</v>
      </c>
    </row>
    <row r="31" customFormat="false" ht="26.25" hidden="false" customHeight="true" outlineLevel="0" collapsed="false">
      <c r="A31" s="20" t="n">
        <v>30</v>
      </c>
      <c r="B31" s="20" t="s">
        <v>10</v>
      </c>
      <c r="C31" s="20" t="s">
        <v>46</v>
      </c>
      <c r="D31" s="20" t="s">
        <v>273</v>
      </c>
      <c r="E31" s="20" t="s">
        <v>274</v>
      </c>
      <c r="F31" s="20" t="s">
        <v>275</v>
      </c>
      <c r="G31" s="20" t="s">
        <v>18</v>
      </c>
      <c r="H31" s="20" t="s">
        <v>276</v>
      </c>
      <c r="I31" s="20" t="s">
        <v>28</v>
      </c>
      <c r="J31" s="20" t="s">
        <v>277</v>
      </c>
      <c r="K31" s="20" t="s">
        <v>200</v>
      </c>
      <c r="L31" s="22" t="n">
        <v>2</v>
      </c>
      <c r="M31" s="22" t="s">
        <v>86</v>
      </c>
      <c r="N31" s="23" t="n">
        <f aca="false">INDEX(Assumptions!$B$13:$B$16,MATCH(M31,Assumptions!$A$13:$A$16,0))</f>
        <v>0.2</v>
      </c>
      <c r="O31" s="24" t="n">
        <f aca="false">L31*(1+N31)</f>
        <v>2.4</v>
      </c>
      <c r="P31" s="25" t="n">
        <f aca="false">O31*Assumptions!$B$3</f>
        <v>9.6</v>
      </c>
      <c r="Q31" s="26"/>
      <c r="R31" s="26" t="s">
        <v>106</v>
      </c>
      <c r="S31" s="20" t="s">
        <v>278</v>
      </c>
    </row>
    <row r="32" customFormat="false" ht="26.25" hidden="false" customHeight="true" outlineLevel="0" collapsed="false">
      <c r="A32" s="20" t="n">
        <v>31</v>
      </c>
      <c r="B32" s="20" t="s">
        <v>10</v>
      </c>
      <c r="C32" s="20" t="s">
        <v>46</v>
      </c>
      <c r="D32" s="20" t="s">
        <v>279</v>
      </c>
      <c r="E32" s="20" t="s">
        <v>280</v>
      </c>
      <c r="F32" s="20" t="s">
        <v>281</v>
      </c>
      <c r="G32" s="20" t="s">
        <v>17</v>
      </c>
      <c r="H32" s="20" t="s">
        <v>268</v>
      </c>
      <c r="I32" s="20" t="s">
        <v>28</v>
      </c>
      <c r="J32" s="20" t="s">
        <v>104</v>
      </c>
      <c r="K32" s="20" t="s">
        <v>282</v>
      </c>
      <c r="L32" s="22" t="n">
        <v>1</v>
      </c>
      <c r="M32" s="22" t="s">
        <v>84</v>
      </c>
      <c r="N32" s="23" t="n">
        <f aca="false">INDEX(Assumptions!$B$13:$B$16,MATCH(M32,Assumptions!$A$13:$A$16,0))</f>
        <v>0.1</v>
      </c>
      <c r="O32" s="24" t="n">
        <f aca="false">L32*(1+N32)</f>
        <v>1.1</v>
      </c>
      <c r="P32" s="25" t="n">
        <f aca="false">O32*Assumptions!$B$3</f>
        <v>4.4</v>
      </c>
      <c r="Q32" s="26"/>
      <c r="R32" s="26" t="s">
        <v>106</v>
      </c>
      <c r="S32" s="20" t="s">
        <v>283</v>
      </c>
    </row>
    <row r="33" customFormat="false" ht="26.25" hidden="false" customHeight="true" outlineLevel="0" collapsed="false">
      <c r="A33" s="20" t="n">
        <v>32</v>
      </c>
      <c r="B33" s="20" t="s">
        <v>10</v>
      </c>
      <c r="C33" s="20" t="s">
        <v>46</v>
      </c>
      <c r="D33" s="20" t="s">
        <v>19</v>
      </c>
      <c r="E33" s="20" t="s">
        <v>284</v>
      </c>
      <c r="F33" s="20" t="s">
        <v>285</v>
      </c>
      <c r="G33" s="20" t="s">
        <v>19</v>
      </c>
      <c r="H33" s="20" t="s">
        <v>274</v>
      </c>
      <c r="I33" s="20" t="s">
        <v>28</v>
      </c>
      <c r="J33" s="20" t="s">
        <v>104</v>
      </c>
      <c r="K33" s="20" t="s">
        <v>286</v>
      </c>
      <c r="L33" s="22" t="n">
        <v>1</v>
      </c>
      <c r="M33" s="22" t="s">
        <v>84</v>
      </c>
      <c r="N33" s="23" t="n">
        <f aca="false">INDEX(Assumptions!$B$13:$B$16,MATCH(M33,Assumptions!$A$13:$A$16,0))</f>
        <v>0.1</v>
      </c>
      <c r="O33" s="24" t="n">
        <f aca="false">L33*(1+N33)</f>
        <v>1.1</v>
      </c>
      <c r="P33" s="25" t="n">
        <f aca="false">O33*Assumptions!$B$3</f>
        <v>4.4</v>
      </c>
      <c r="Q33" s="26"/>
      <c r="R33" s="26" t="s">
        <v>106</v>
      </c>
      <c r="S33" s="20" t="s">
        <v>287</v>
      </c>
    </row>
    <row r="34" customFormat="false" ht="26.25" hidden="false" customHeight="true" outlineLevel="0" collapsed="false">
      <c r="A34" s="20" t="n">
        <v>33</v>
      </c>
      <c r="B34" s="20" t="s">
        <v>10</v>
      </c>
      <c r="C34" s="21" t="s">
        <v>47</v>
      </c>
      <c r="D34" s="20" t="s">
        <v>159</v>
      </c>
      <c r="E34" s="20" t="s">
        <v>288</v>
      </c>
      <c r="F34" s="20" t="s">
        <v>289</v>
      </c>
      <c r="G34" s="20" t="s">
        <v>17</v>
      </c>
      <c r="H34" s="20" t="s">
        <v>160</v>
      </c>
      <c r="I34" s="20" t="s">
        <v>29</v>
      </c>
      <c r="J34" s="20" t="s">
        <v>104</v>
      </c>
      <c r="K34" s="20" t="s">
        <v>162</v>
      </c>
      <c r="L34" s="22" t="n">
        <v>1</v>
      </c>
      <c r="M34" s="22" t="s">
        <v>86</v>
      </c>
      <c r="N34" s="23" t="n">
        <f aca="false">INDEX(Assumptions!$B$13:$B$16,MATCH(M34,Assumptions!$A$13:$A$16,0))</f>
        <v>0.2</v>
      </c>
      <c r="O34" s="24" t="n">
        <f aca="false">L34*(1+N34)</f>
        <v>1.2</v>
      </c>
      <c r="P34" s="25" t="n">
        <f aca="false">O34*Assumptions!$B$3</f>
        <v>4.8</v>
      </c>
      <c r="Q34" s="26"/>
      <c r="R34" s="26" t="s">
        <v>106</v>
      </c>
      <c r="S34" s="20" t="s">
        <v>290</v>
      </c>
    </row>
    <row r="35" customFormat="false" ht="15" hidden="false" customHeight="true" outlineLevel="0" collapsed="false">
      <c r="A35" s="20" t="n">
        <v>34</v>
      </c>
      <c r="B35" s="20" t="s">
        <v>10</v>
      </c>
      <c r="C35" s="20" t="s">
        <v>47</v>
      </c>
      <c r="D35" s="20" t="s">
        <v>291</v>
      </c>
      <c r="E35" s="20" t="s">
        <v>292</v>
      </c>
      <c r="F35" s="20" t="s">
        <v>293</v>
      </c>
      <c r="G35" s="20" t="s">
        <v>17</v>
      </c>
      <c r="H35" s="20" t="s">
        <v>136</v>
      </c>
      <c r="I35" s="20" t="s">
        <v>29</v>
      </c>
      <c r="J35" s="20" t="s">
        <v>294</v>
      </c>
      <c r="K35" s="20" t="s">
        <v>295</v>
      </c>
      <c r="L35" s="22" t="n">
        <v>2</v>
      </c>
      <c r="M35" s="22" t="s">
        <v>88</v>
      </c>
      <c r="N35" s="23" t="n">
        <f aca="false">INDEX(Assumptions!$B$13:$B$16,MATCH(M35,Assumptions!$A$13:$A$16,0))</f>
        <v>0.35</v>
      </c>
      <c r="O35" s="24" t="n">
        <f aca="false">L35*(1+N35)</f>
        <v>2.7</v>
      </c>
      <c r="P35" s="25" t="n">
        <f aca="false">O35*Assumptions!$B$3</f>
        <v>10.8</v>
      </c>
      <c r="Q35" s="26"/>
      <c r="R35" s="26" t="s">
        <v>106</v>
      </c>
      <c r="S35" s="20" t="s">
        <v>296</v>
      </c>
    </row>
    <row r="36" customFormat="false" ht="15" hidden="false" customHeight="true" outlineLevel="0" collapsed="false">
      <c r="A36" s="20" t="n">
        <v>35</v>
      </c>
      <c r="B36" s="20" t="s">
        <v>10</v>
      </c>
      <c r="C36" s="20" t="s">
        <v>47</v>
      </c>
      <c r="D36" s="20" t="s">
        <v>297</v>
      </c>
      <c r="E36" s="20" t="s">
        <v>298</v>
      </c>
      <c r="F36" s="20" t="s">
        <v>299</v>
      </c>
      <c r="G36" s="20" t="s">
        <v>17</v>
      </c>
      <c r="H36" s="20" t="s">
        <v>292</v>
      </c>
      <c r="I36" s="20" t="s">
        <v>29</v>
      </c>
      <c r="J36" s="20" t="s">
        <v>300</v>
      </c>
      <c r="K36" s="20" t="s">
        <v>301</v>
      </c>
      <c r="L36" s="22" t="n">
        <v>3</v>
      </c>
      <c r="M36" s="22" t="s">
        <v>88</v>
      </c>
      <c r="N36" s="23" t="n">
        <f aca="false">INDEX(Assumptions!$B$13:$B$16,MATCH(M36,Assumptions!$A$13:$A$16,0))</f>
        <v>0.35</v>
      </c>
      <c r="O36" s="24" t="n">
        <f aca="false">L36*(1+N36)</f>
        <v>4.05</v>
      </c>
      <c r="P36" s="25" t="n">
        <f aca="false">O36*Assumptions!$B$3</f>
        <v>16.2</v>
      </c>
      <c r="Q36" s="26"/>
      <c r="R36" s="26" t="s">
        <v>106</v>
      </c>
      <c r="S36" s="20" t="s">
        <v>302</v>
      </c>
    </row>
    <row r="37" customFormat="false" ht="15" hidden="false" customHeight="true" outlineLevel="0" collapsed="false">
      <c r="A37" s="20" t="n">
        <v>36</v>
      </c>
      <c r="B37" s="20" t="s">
        <v>10</v>
      </c>
      <c r="C37" s="20" t="s">
        <v>47</v>
      </c>
      <c r="D37" s="20" t="s">
        <v>303</v>
      </c>
      <c r="E37" s="20" t="s">
        <v>304</v>
      </c>
      <c r="F37" s="20" t="s">
        <v>305</v>
      </c>
      <c r="G37" s="20" t="s">
        <v>17</v>
      </c>
      <c r="H37" s="20" t="s">
        <v>298</v>
      </c>
      <c r="I37" s="20" t="s">
        <v>29</v>
      </c>
      <c r="J37" s="20" t="s">
        <v>306</v>
      </c>
      <c r="K37" s="20" t="s">
        <v>200</v>
      </c>
      <c r="L37" s="22" t="n">
        <v>0.5</v>
      </c>
      <c r="M37" s="22" t="s">
        <v>86</v>
      </c>
      <c r="N37" s="23" t="n">
        <f aca="false">INDEX(Assumptions!$B$13:$B$16,MATCH(M37,Assumptions!$A$13:$A$16,0))</f>
        <v>0.2</v>
      </c>
      <c r="O37" s="24" t="n">
        <f aca="false">L37*(1+N37)</f>
        <v>0.6</v>
      </c>
      <c r="P37" s="25" t="n">
        <f aca="false">O37*Assumptions!$B$3</f>
        <v>2.4</v>
      </c>
      <c r="Q37" s="26"/>
      <c r="R37" s="26" t="s">
        <v>106</v>
      </c>
      <c r="S37" s="20" t="s">
        <v>307</v>
      </c>
    </row>
    <row r="38" customFormat="false" ht="26.25" hidden="false" customHeight="true" outlineLevel="0" collapsed="false">
      <c r="A38" s="20" t="n">
        <v>37</v>
      </c>
      <c r="B38" s="20" t="s">
        <v>10</v>
      </c>
      <c r="C38" s="20" t="s">
        <v>47</v>
      </c>
      <c r="D38" s="20" t="s">
        <v>308</v>
      </c>
      <c r="E38" s="20" t="s">
        <v>309</v>
      </c>
      <c r="F38" s="20" t="s">
        <v>310</v>
      </c>
      <c r="G38" s="20" t="s">
        <v>17</v>
      </c>
      <c r="H38" s="20" t="s">
        <v>298</v>
      </c>
      <c r="I38" s="20" t="s">
        <v>29</v>
      </c>
      <c r="J38" s="20" t="s">
        <v>311</v>
      </c>
      <c r="K38" s="20" t="s">
        <v>295</v>
      </c>
      <c r="L38" s="22" t="n">
        <v>2</v>
      </c>
      <c r="M38" s="22" t="s">
        <v>88</v>
      </c>
      <c r="N38" s="23" t="n">
        <f aca="false">INDEX(Assumptions!$B$13:$B$16,MATCH(M38,Assumptions!$A$13:$A$16,0))</f>
        <v>0.35</v>
      </c>
      <c r="O38" s="24" t="n">
        <f aca="false">L38*(1+N38)</f>
        <v>2.7</v>
      </c>
      <c r="P38" s="25" t="n">
        <f aca="false">O38*Assumptions!$B$3</f>
        <v>10.8</v>
      </c>
      <c r="Q38" s="26"/>
      <c r="R38" s="26" t="s">
        <v>106</v>
      </c>
      <c r="S38" s="20" t="s">
        <v>312</v>
      </c>
    </row>
    <row r="39" customFormat="false" ht="15" hidden="false" customHeight="true" outlineLevel="0" collapsed="false">
      <c r="A39" s="20" t="n">
        <v>38</v>
      </c>
      <c r="B39" s="20" t="s">
        <v>10</v>
      </c>
      <c r="C39" s="20" t="s">
        <v>47</v>
      </c>
      <c r="D39" s="20" t="s">
        <v>313</v>
      </c>
      <c r="E39" s="20" t="s">
        <v>314</v>
      </c>
      <c r="F39" s="20" t="s">
        <v>315</v>
      </c>
      <c r="G39" s="20" t="s">
        <v>17</v>
      </c>
      <c r="H39" s="20" t="s">
        <v>288</v>
      </c>
      <c r="I39" s="20" t="s">
        <v>29</v>
      </c>
      <c r="J39" s="20" t="s">
        <v>316</v>
      </c>
      <c r="K39" s="20" t="s">
        <v>200</v>
      </c>
      <c r="L39" s="22" t="n">
        <v>0.5</v>
      </c>
      <c r="M39" s="22" t="s">
        <v>84</v>
      </c>
      <c r="N39" s="23" t="n">
        <f aca="false">INDEX(Assumptions!$B$13:$B$16,MATCH(M39,Assumptions!$A$13:$A$16,0))</f>
        <v>0.1</v>
      </c>
      <c r="O39" s="24" t="n">
        <f aca="false">L39*(1+N39)</f>
        <v>0.55</v>
      </c>
      <c r="P39" s="25" t="n">
        <f aca="false">O39*Assumptions!$B$3</f>
        <v>2.2</v>
      </c>
      <c r="Q39" s="26"/>
      <c r="R39" s="26" t="s">
        <v>106</v>
      </c>
      <c r="S39" s="20" t="s">
        <v>317</v>
      </c>
    </row>
    <row r="40" customFormat="false" ht="15" hidden="false" customHeight="true" outlineLevel="0" collapsed="false">
      <c r="A40" s="20" t="n">
        <v>39</v>
      </c>
      <c r="B40" s="20" t="s">
        <v>10</v>
      </c>
      <c r="C40" s="20" t="s">
        <v>47</v>
      </c>
      <c r="D40" s="20" t="s">
        <v>318</v>
      </c>
      <c r="E40" s="20" t="s">
        <v>319</v>
      </c>
      <c r="F40" s="20" t="s">
        <v>320</v>
      </c>
      <c r="G40" s="20" t="s">
        <v>18</v>
      </c>
      <c r="H40" s="20" t="s">
        <v>298</v>
      </c>
      <c r="I40" s="20" t="s">
        <v>29</v>
      </c>
      <c r="J40" s="20" t="s">
        <v>306</v>
      </c>
      <c r="K40" s="20" t="s">
        <v>200</v>
      </c>
      <c r="L40" s="22" t="n">
        <v>1.5</v>
      </c>
      <c r="M40" s="22" t="s">
        <v>86</v>
      </c>
      <c r="N40" s="23" t="n">
        <f aca="false">INDEX(Assumptions!$B$13:$B$16,MATCH(M40,Assumptions!$A$13:$A$16,0))</f>
        <v>0.2</v>
      </c>
      <c r="O40" s="24" t="n">
        <f aca="false">L40*(1+N40)</f>
        <v>1.8</v>
      </c>
      <c r="P40" s="25" t="n">
        <f aca="false">O40*Assumptions!$B$3</f>
        <v>7.2</v>
      </c>
      <c r="Q40" s="26"/>
      <c r="R40" s="26" t="s">
        <v>106</v>
      </c>
      <c r="S40" s="20" t="s">
        <v>321</v>
      </c>
    </row>
    <row r="41" customFormat="false" ht="26.25" hidden="false" customHeight="true" outlineLevel="0" collapsed="false">
      <c r="A41" s="20" t="n">
        <v>40</v>
      </c>
      <c r="B41" s="20" t="s">
        <v>10</v>
      </c>
      <c r="C41" s="21" t="s">
        <v>48</v>
      </c>
      <c r="D41" s="20" t="s">
        <v>322</v>
      </c>
      <c r="E41" s="20" t="s">
        <v>323</v>
      </c>
      <c r="F41" s="20" t="s">
        <v>324</v>
      </c>
      <c r="G41" s="20" t="s">
        <v>17</v>
      </c>
      <c r="H41" s="20" t="s">
        <v>288</v>
      </c>
      <c r="I41" s="20" t="s">
        <v>29</v>
      </c>
      <c r="J41" s="20" t="s">
        <v>325</v>
      </c>
      <c r="K41" s="20" t="s">
        <v>326</v>
      </c>
      <c r="L41" s="22" t="n">
        <v>2</v>
      </c>
      <c r="M41" s="22" t="s">
        <v>88</v>
      </c>
      <c r="N41" s="23" t="n">
        <f aca="false">INDEX(Assumptions!$B$13:$B$16,MATCH(M41,Assumptions!$A$13:$A$16,0))</f>
        <v>0.35</v>
      </c>
      <c r="O41" s="24" t="n">
        <f aca="false">L41*(1+N41)</f>
        <v>2.7</v>
      </c>
      <c r="P41" s="25" t="n">
        <f aca="false">O41*Assumptions!$B$3</f>
        <v>10.8</v>
      </c>
      <c r="Q41" s="26"/>
      <c r="R41" s="26" t="s">
        <v>106</v>
      </c>
      <c r="S41" s="20" t="s">
        <v>327</v>
      </c>
    </row>
    <row r="42" customFormat="false" ht="15" hidden="false" customHeight="true" outlineLevel="0" collapsed="false">
      <c r="A42" s="20" t="n">
        <v>41</v>
      </c>
      <c r="B42" s="20" t="s">
        <v>10</v>
      </c>
      <c r="C42" s="20" t="s">
        <v>48</v>
      </c>
      <c r="D42" s="20" t="s">
        <v>328</v>
      </c>
      <c r="E42" s="20" t="s">
        <v>329</v>
      </c>
      <c r="F42" s="20" t="s">
        <v>330</v>
      </c>
      <c r="G42" s="20" t="s">
        <v>17</v>
      </c>
      <c r="H42" s="20" t="s">
        <v>323</v>
      </c>
      <c r="I42" s="20" t="s">
        <v>29</v>
      </c>
      <c r="J42" s="20" t="s">
        <v>331</v>
      </c>
      <c r="K42" s="20" t="s">
        <v>332</v>
      </c>
      <c r="L42" s="22" t="n">
        <v>3</v>
      </c>
      <c r="M42" s="22" t="s">
        <v>88</v>
      </c>
      <c r="N42" s="23" t="n">
        <f aca="false">INDEX(Assumptions!$B$13:$B$16,MATCH(M42,Assumptions!$A$13:$A$16,0))</f>
        <v>0.35</v>
      </c>
      <c r="O42" s="24" t="n">
        <f aca="false">L42*(1+N42)</f>
        <v>4.05</v>
      </c>
      <c r="P42" s="25" t="n">
        <f aca="false">O42*Assumptions!$B$3</f>
        <v>16.2</v>
      </c>
      <c r="Q42" s="26"/>
      <c r="R42" s="26" t="s">
        <v>106</v>
      </c>
      <c r="S42" s="20" t="s">
        <v>333</v>
      </c>
    </row>
    <row r="43" customFormat="false" ht="15" hidden="false" customHeight="true" outlineLevel="0" collapsed="false">
      <c r="A43" s="20" t="n">
        <v>42</v>
      </c>
      <c r="B43" s="20" t="s">
        <v>10</v>
      </c>
      <c r="C43" s="20" t="s">
        <v>48</v>
      </c>
      <c r="D43" s="20" t="s">
        <v>334</v>
      </c>
      <c r="E43" s="20" t="s">
        <v>335</v>
      </c>
      <c r="F43" s="20" t="s">
        <v>336</v>
      </c>
      <c r="G43" s="20" t="s">
        <v>17</v>
      </c>
      <c r="H43" s="20" t="s">
        <v>329</v>
      </c>
      <c r="I43" s="20" t="s">
        <v>29</v>
      </c>
      <c r="J43" s="20" t="s">
        <v>337</v>
      </c>
      <c r="K43" s="20" t="s">
        <v>326</v>
      </c>
      <c r="L43" s="22" t="n">
        <v>1</v>
      </c>
      <c r="M43" s="22" t="s">
        <v>86</v>
      </c>
      <c r="N43" s="23" t="n">
        <f aca="false">INDEX(Assumptions!$B$13:$B$16,MATCH(M43,Assumptions!$A$13:$A$16,0))</f>
        <v>0.2</v>
      </c>
      <c r="O43" s="24" t="n">
        <f aca="false">L43*(1+N43)</f>
        <v>1.2</v>
      </c>
      <c r="P43" s="25" t="n">
        <f aca="false">O43*Assumptions!$B$3</f>
        <v>4.8</v>
      </c>
      <c r="Q43" s="26"/>
      <c r="R43" s="26" t="s">
        <v>106</v>
      </c>
      <c r="S43" s="20" t="s">
        <v>338</v>
      </c>
    </row>
    <row r="44" customFormat="false" ht="15" hidden="false" customHeight="true" outlineLevel="0" collapsed="false">
      <c r="A44" s="20" t="n">
        <v>43</v>
      </c>
      <c r="B44" s="20" t="s">
        <v>10</v>
      </c>
      <c r="C44" s="20" t="s">
        <v>48</v>
      </c>
      <c r="D44" s="20" t="s">
        <v>339</v>
      </c>
      <c r="E44" s="20" t="s">
        <v>340</v>
      </c>
      <c r="F44" s="20" t="s">
        <v>341</v>
      </c>
      <c r="G44" s="20" t="s">
        <v>17</v>
      </c>
      <c r="H44" s="20" t="s">
        <v>323</v>
      </c>
      <c r="I44" s="20" t="s">
        <v>29</v>
      </c>
      <c r="J44" s="20" t="s">
        <v>337</v>
      </c>
      <c r="K44" s="20" t="s">
        <v>200</v>
      </c>
      <c r="L44" s="22" t="n">
        <v>0.5</v>
      </c>
      <c r="M44" s="22" t="s">
        <v>84</v>
      </c>
      <c r="N44" s="23" t="n">
        <f aca="false">INDEX(Assumptions!$B$13:$B$16,MATCH(M44,Assumptions!$A$13:$A$16,0))</f>
        <v>0.1</v>
      </c>
      <c r="O44" s="24" t="n">
        <f aca="false">L44*(1+N44)</f>
        <v>0.55</v>
      </c>
      <c r="P44" s="25" t="n">
        <f aca="false">O44*Assumptions!$B$3</f>
        <v>2.2</v>
      </c>
      <c r="Q44" s="26"/>
      <c r="R44" s="26" t="s">
        <v>106</v>
      </c>
      <c r="S44" s="20" t="s">
        <v>342</v>
      </c>
    </row>
    <row r="45" customFormat="false" ht="15" hidden="false" customHeight="true" outlineLevel="0" collapsed="false">
      <c r="A45" s="20" t="n">
        <v>44</v>
      </c>
      <c r="B45" s="20" t="s">
        <v>10</v>
      </c>
      <c r="C45" s="20" t="s">
        <v>48</v>
      </c>
      <c r="D45" s="20" t="s">
        <v>343</v>
      </c>
      <c r="E45" s="20" t="s">
        <v>344</v>
      </c>
      <c r="F45" s="20" t="s">
        <v>345</v>
      </c>
      <c r="G45" s="20" t="s">
        <v>17</v>
      </c>
      <c r="H45" s="20" t="s">
        <v>329</v>
      </c>
      <c r="I45" s="20" t="s">
        <v>29</v>
      </c>
      <c r="J45" s="20" t="s">
        <v>346</v>
      </c>
      <c r="K45" s="20" t="s">
        <v>347</v>
      </c>
      <c r="L45" s="22" t="n">
        <v>2</v>
      </c>
      <c r="M45" s="22" t="s">
        <v>86</v>
      </c>
      <c r="N45" s="23" t="n">
        <f aca="false">INDEX(Assumptions!$B$13:$B$16,MATCH(M45,Assumptions!$A$13:$A$16,0))</f>
        <v>0.2</v>
      </c>
      <c r="O45" s="24" t="n">
        <f aca="false">L45*(1+N45)</f>
        <v>2.4</v>
      </c>
      <c r="P45" s="25" t="n">
        <f aca="false">O45*Assumptions!$B$3</f>
        <v>9.6</v>
      </c>
      <c r="Q45" s="26"/>
      <c r="R45" s="26" t="s">
        <v>106</v>
      </c>
      <c r="S45" s="20" t="s">
        <v>348</v>
      </c>
    </row>
    <row r="46" customFormat="false" ht="26.25" hidden="false" customHeight="true" outlineLevel="0" collapsed="false">
      <c r="A46" s="20" t="n">
        <v>45</v>
      </c>
      <c r="B46" s="20" t="s">
        <v>10</v>
      </c>
      <c r="C46" s="20" t="s">
        <v>48</v>
      </c>
      <c r="D46" s="20" t="s">
        <v>349</v>
      </c>
      <c r="E46" s="20" t="s">
        <v>350</v>
      </c>
      <c r="F46" s="20" t="s">
        <v>351</v>
      </c>
      <c r="G46" s="20" t="s">
        <v>17</v>
      </c>
      <c r="H46" s="20" t="s">
        <v>329</v>
      </c>
      <c r="I46" s="20" t="s">
        <v>29</v>
      </c>
      <c r="J46" s="20" t="s">
        <v>104</v>
      </c>
      <c r="K46" s="20" t="s">
        <v>352</v>
      </c>
      <c r="L46" s="22" t="n">
        <v>1</v>
      </c>
      <c r="M46" s="22" t="s">
        <v>86</v>
      </c>
      <c r="N46" s="23" t="n">
        <f aca="false">INDEX(Assumptions!$B$13:$B$16,MATCH(M46,Assumptions!$A$13:$A$16,0))</f>
        <v>0.2</v>
      </c>
      <c r="O46" s="24" t="n">
        <f aca="false">L46*(1+N46)</f>
        <v>1.2</v>
      </c>
      <c r="P46" s="25" t="n">
        <f aca="false">O46*Assumptions!$B$3</f>
        <v>4.8</v>
      </c>
      <c r="Q46" s="26"/>
      <c r="R46" s="26" t="s">
        <v>106</v>
      </c>
      <c r="S46" s="20" t="s">
        <v>353</v>
      </c>
    </row>
    <row r="47" customFormat="false" ht="15" hidden="false" customHeight="true" outlineLevel="0" collapsed="false">
      <c r="A47" s="20" t="n">
        <v>46</v>
      </c>
      <c r="B47" s="20" t="s">
        <v>10</v>
      </c>
      <c r="C47" s="20" t="s">
        <v>48</v>
      </c>
      <c r="D47" s="20" t="s">
        <v>354</v>
      </c>
      <c r="E47" s="20" t="s">
        <v>355</v>
      </c>
      <c r="F47" s="20" t="s">
        <v>356</v>
      </c>
      <c r="G47" s="20" t="s">
        <v>18</v>
      </c>
      <c r="H47" s="20" t="s">
        <v>329</v>
      </c>
      <c r="I47" s="20" t="s">
        <v>29</v>
      </c>
      <c r="J47" s="20" t="s">
        <v>357</v>
      </c>
      <c r="K47" s="20" t="s">
        <v>200</v>
      </c>
      <c r="L47" s="22" t="n">
        <v>2</v>
      </c>
      <c r="M47" s="22" t="s">
        <v>86</v>
      </c>
      <c r="N47" s="23" t="n">
        <f aca="false">INDEX(Assumptions!$B$13:$B$16,MATCH(M47,Assumptions!$A$13:$A$16,0))</f>
        <v>0.2</v>
      </c>
      <c r="O47" s="24" t="n">
        <f aca="false">L47*(1+N47)</f>
        <v>2.4</v>
      </c>
      <c r="P47" s="25" t="n">
        <f aca="false">O47*Assumptions!$B$3</f>
        <v>9.6</v>
      </c>
      <c r="Q47" s="26"/>
      <c r="R47" s="26" t="s">
        <v>106</v>
      </c>
      <c r="S47" s="20" t="s">
        <v>358</v>
      </c>
    </row>
    <row r="48" customFormat="false" ht="15" hidden="false" customHeight="true" outlineLevel="0" collapsed="false">
      <c r="A48" s="20" t="n">
        <v>47</v>
      </c>
      <c r="B48" s="20" t="s">
        <v>10</v>
      </c>
      <c r="C48" s="20" t="s">
        <v>48</v>
      </c>
      <c r="D48" s="20" t="s">
        <v>359</v>
      </c>
      <c r="E48" s="20" t="s">
        <v>360</v>
      </c>
      <c r="F48" s="20" t="s">
        <v>361</v>
      </c>
      <c r="G48" s="20" t="s">
        <v>18</v>
      </c>
      <c r="H48" s="20" t="s">
        <v>329</v>
      </c>
      <c r="I48" s="20" t="s">
        <v>29</v>
      </c>
      <c r="J48" s="20" t="s">
        <v>362</v>
      </c>
      <c r="K48" s="20" t="s">
        <v>200</v>
      </c>
      <c r="L48" s="22" t="n">
        <v>2</v>
      </c>
      <c r="M48" s="22" t="s">
        <v>86</v>
      </c>
      <c r="N48" s="23" t="n">
        <f aca="false">INDEX(Assumptions!$B$13:$B$16,MATCH(M48,Assumptions!$A$13:$A$16,0))</f>
        <v>0.2</v>
      </c>
      <c r="O48" s="24" t="n">
        <f aca="false">L48*(1+N48)</f>
        <v>2.4</v>
      </c>
      <c r="P48" s="25" t="n">
        <f aca="false">O48*Assumptions!$B$3</f>
        <v>9.6</v>
      </c>
      <c r="Q48" s="26"/>
      <c r="R48" s="26" t="s">
        <v>106</v>
      </c>
      <c r="S48" s="20" t="s">
        <v>363</v>
      </c>
    </row>
    <row r="49" customFormat="false" ht="26.25" hidden="false" customHeight="true" outlineLevel="0" collapsed="false">
      <c r="A49" s="20" t="n">
        <v>48</v>
      </c>
      <c r="B49" s="20" t="s">
        <v>10</v>
      </c>
      <c r="C49" s="20" t="s">
        <v>48</v>
      </c>
      <c r="D49" s="20" t="s">
        <v>19</v>
      </c>
      <c r="E49" s="20" t="s">
        <v>364</v>
      </c>
      <c r="F49" s="20" t="s">
        <v>365</v>
      </c>
      <c r="G49" s="20" t="s">
        <v>19</v>
      </c>
      <c r="H49" s="20" t="s">
        <v>360</v>
      </c>
      <c r="I49" s="20" t="s">
        <v>29</v>
      </c>
      <c r="J49" s="20" t="s">
        <v>104</v>
      </c>
      <c r="K49" s="20" t="s">
        <v>286</v>
      </c>
      <c r="L49" s="22" t="n">
        <v>1</v>
      </c>
      <c r="M49" s="22" t="s">
        <v>86</v>
      </c>
      <c r="N49" s="23" t="n">
        <f aca="false">INDEX(Assumptions!$B$13:$B$16,MATCH(M49,Assumptions!$A$13:$A$16,0))</f>
        <v>0.2</v>
      </c>
      <c r="O49" s="24" t="n">
        <f aca="false">L49*(1+N49)</f>
        <v>1.2</v>
      </c>
      <c r="P49" s="25" t="n">
        <f aca="false">O49*Assumptions!$B$3</f>
        <v>4.8</v>
      </c>
      <c r="Q49" s="26"/>
      <c r="R49" s="26" t="s">
        <v>106</v>
      </c>
      <c r="S49" s="20" t="s">
        <v>366</v>
      </c>
    </row>
    <row r="50" customFormat="false" ht="26.25" hidden="false" customHeight="true" outlineLevel="0" collapsed="false">
      <c r="A50" s="20" t="n">
        <v>49</v>
      </c>
      <c r="B50" s="20" t="s">
        <v>10</v>
      </c>
      <c r="C50" s="20" t="s">
        <v>48</v>
      </c>
      <c r="D50" s="20" t="s">
        <v>367</v>
      </c>
      <c r="E50" s="20" t="s">
        <v>368</v>
      </c>
      <c r="F50" s="20" t="s">
        <v>369</v>
      </c>
      <c r="G50" s="20" t="s">
        <v>17</v>
      </c>
      <c r="H50" s="20" t="s">
        <v>360</v>
      </c>
      <c r="I50" s="20" t="s">
        <v>29</v>
      </c>
      <c r="J50" s="20" t="s">
        <v>104</v>
      </c>
      <c r="K50" s="20" t="s">
        <v>370</v>
      </c>
      <c r="L50" s="22" t="n">
        <v>1</v>
      </c>
      <c r="M50" s="22" t="s">
        <v>86</v>
      </c>
      <c r="N50" s="23" t="n">
        <f aca="false">INDEX(Assumptions!$B$13:$B$16,MATCH(M50,Assumptions!$A$13:$A$16,0))</f>
        <v>0.2</v>
      </c>
      <c r="O50" s="24" t="n">
        <f aca="false">L50*(1+N50)</f>
        <v>1.2</v>
      </c>
      <c r="P50" s="25" t="n">
        <f aca="false">O50*Assumptions!$B$3</f>
        <v>4.8</v>
      </c>
      <c r="Q50" s="26"/>
      <c r="R50" s="26" t="s">
        <v>106</v>
      </c>
      <c r="S50" s="20" t="s">
        <v>371</v>
      </c>
    </row>
    <row r="51" customFormat="false" ht="15" hidden="false" customHeight="true" outlineLevel="0" collapsed="false">
      <c r="A51" s="20" t="n">
        <v>50</v>
      </c>
      <c r="B51" s="20" t="s">
        <v>10</v>
      </c>
      <c r="C51" s="21" t="s">
        <v>49</v>
      </c>
      <c r="D51" s="20" t="s">
        <v>159</v>
      </c>
      <c r="E51" s="20" t="s">
        <v>372</v>
      </c>
      <c r="F51" s="20" t="s">
        <v>373</v>
      </c>
      <c r="G51" s="20" t="s">
        <v>17</v>
      </c>
      <c r="H51" s="20" t="s">
        <v>288</v>
      </c>
      <c r="I51" s="20" t="s">
        <v>30</v>
      </c>
      <c r="J51" s="20" t="s">
        <v>104</v>
      </c>
      <c r="K51" s="20" t="s">
        <v>162</v>
      </c>
      <c r="L51" s="22" t="n">
        <v>0.5</v>
      </c>
      <c r="M51" s="22" t="s">
        <v>84</v>
      </c>
      <c r="N51" s="23" t="n">
        <f aca="false">INDEX(Assumptions!$B$13:$B$16,MATCH(M51,Assumptions!$A$13:$A$16,0))</f>
        <v>0.1</v>
      </c>
      <c r="O51" s="24" t="n">
        <f aca="false">L51*(1+N51)</f>
        <v>0.55</v>
      </c>
      <c r="P51" s="25" t="n">
        <f aca="false">O51*Assumptions!$B$3</f>
        <v>2.2</v>
      </c>
      <c r="Q51" s="26"/>
      <c r="R51" s="26" t="s">
        <v>106</v>
      </c>
      <c r="S51" s="20" t="s">
        <v>374</v>
      </c>
    </row>
    <row r="52" customFormat="false" ht="26.25" hidden="false" customHeight="true" outlineLevel="0" collapsed="false">
      <c r="A52" s="20" t="n">
        <v>51</v>
      </c>
      <c r="B52" s="20" t="s">
        <v>10</v>
      </c>
      <c r="C52" s="20" t="s">
        <v>49</v>
      </c>
      <c r="D52" s="20" t="s">
        <v>375</v>
      </c>
      <c r="E52" s="20" t="s">
        <v>376</v>
      </c>
      <c r="F52" s="20" t="s">
        <v>377</v>
      </c>
      <c r="G52" s="20" t="s">
        <v>17</v>
      </c>
      <c r="H52" s="20" t="s">
        <v>372</v>
      </c>
      <c r="I52" s="20" t="s">
        <v>30</v>
      </c>
      <c r="J52" s="20" t="s">
        <v>378</v>
      </c>
      <c r="K52" s="20" t="s">
        <v>379</v>
      </c>
      <c r="L52" s="22" t="n">
        <v>2</v>
      </c>
      <c r="M52" s="22" t="s">
        <v>86</v>
      </c>
      <c r="N52" s="23" t="n">
        <f aca="false">INDEX(Assumptions!$B$13:$B$16,MATCH(M52,Assumptions!$A$13:$A$16,0))</f>
        <v>0.2</v>
      </c>
      <c r="O52" s="24" t="n">
        <f aca="false">L52*(1+N52)</f>
        <v>2.4</v>
      </c>
      <c r="P52" s="25" t="n">
        <f aca="false">O52*Assumptions!$B$3</f>
        <v>9.6</v>
      </c>
      <c r="Q52" s="26"/>
      <c r="R52" s="26" t="s">
        <v>106</v>
      </c>
      <c r="S52" s="20" t="s">
        <v>380</v>
      </c>
    </row>
    <row r="53" customFormat="false" ht="15" hidden="false" customHeight="true" outlineLevel="0" collapsed="false">
      <c r="A53" s="20" t="n">
        <v>52</v>
      </c>
      <c r="B53" s="20" t="s">
        <v>10</v>
      </c>
      <c r="C53" s="20" t="s">
        <v>49</v>
      </c>
      <c r="D53" s="20" t="s">
        <v>381</v>
      </c>
      <c r="E53" s="20" t="s">
        <v>382</v>
      </c>
      <c r="F53" s="20" t="s">
        <v>383</v>
      </c>
      <c r="G53" s="20" t="s">
        <v>20</v>
      </c>
      <c r="H53" s="20" t="s">
        <v>376</v>
      </c>
      <c r="I53" s="20" t="s">
        <v>30</v>
      </c>
      <c r="J53" s="20" t="s">
        <v>384</v>
      </c>
      <c r="K53" s="20" t="s">
        <v>385</v>
      </c>
      <c r="L53" s="22" t="n">
        <v>0.5</v>
      </c>
      <c r="M53" s="22" t="s">
        <v>88</v>
      </c>
      <c r="N53" s="23" t="n">
        <f aca="false">INDEX(Assumptions!$B$13:$B$16,MATCH(M53,Assumptions!$A$13:$A$16,0))</f>
        <v>0.35</v>
      </c>
      <c r="O53" s="24" t="n">
        <f aca="false">L53*(1+N53)</f>
        <v>0.675</v>
      </c>
      <c r="P53" s="25" t="n">
        <f aca="false">O53*Assumptions!$B$3</f>
        <v>2.7</v>
      </c>
      <c r="Q53" s="26"/>
      <c r="R53" s="26" t="s">
        <v>106</v>
      </c>
      <c r="S53" s="20" t="s">
        <v>386</v>
      </c>
    </row>
    <row r="54" customFormat="false" ht="15" hidden="false" customHeight="true" outlineLevel="0" collapsed="false">
      <c r="A54" s="20" t="n">
        <v>53</v>
      </c>
      <c r="B54" s="20" t="s">
        <v>10</v>
      </c>
      <c r="C54" s="20" t="s">
        <v>49</v>
      </c>
      <c r="D54" s="20" t="s">
        <v>387</v>
      </c>
      <c r="E54" s="20" t="s">
        <v>388</v>
      </c>
      <c r="F54" s="20" t="s">
        <v>389</v>
      </c>
      <c r="G54" s="20" t="s">
        <v>17</v>
      </c>
      <c r="H54" s="20" t="s">
        <v>376</v>
      </c>
      <c r="I54" s="20" t="s">
        <v>30</v>
      </c>
      <c r="J54" s="20" t="s">
        <v>390</v>
      </c>
      <c r="K54" s="20" t="s">
        <v>391</v>
      </c>
      <c r="L54" s="22" t="n">
        <v>3</v>
      </c>
      <c r="M54" s="22" t="s">
        <v>88</v>
      </c>
      <c r="N54" s="23" t="n">
        <f aca="false">INDEX(Assumptions!$B$13:$B$16,MATCH(M54,Assumptions!$A$13:$A$16,0))</f>
        <v>0.35</v>
      </c>
      <c r="O54" s="24" t="n">
        <f aca="false">L54*(1+N54)</f>
        <v>4.05</v>
      </c>
      <c r="P54" s="25" t="n">
        <f aca="false">O54*Assumptions!$B$3</f>
        <v>16.2</v>
      </c>
      <c r="Q54" s="26"/>
      <c r="R54" s="26" t="s">
        <v>106</v>
      </c>
      <c r="S54" s="20" t="s">
        <v>392</v>
      </c>
    </row>
    <row r="55" customFormat="false" ht="15" hidden="false" customHeight="true" outlineLevel="0" collapsed="false">
      <c r="A55" s="20" t="n">
        <v>54</v>
      </c>
      <c r="B55" s="20" t="s">
        <v>10</v>
      </c>
      <c r="C55" s="20" t="s">
        <v>49</v>
      </c>
      <c r="D55" s="20" t="s">
        <v>393</v>
      </c>
      <c r="E55" s="20" t="s">
        <v>394</v>
      </c>
      <c r="F55" s="20" t="s">
        <v>395</v>
      </c>
      <c r="G55" s="20" t="s">
        <v>17</v>
      </c>
      <c r="H55" s="20" t="s">
        <v>388</v>
      </c>
      <c r="I55" s="20" t="s">
        <v>30</v>
      </c>
      <c r="J55" s="20" t="s">
        <v>396</v>
      </c>
      <c r="K55" s="20" t="s">
        <v>397</v>
      </c>
      <c r="L55" s="22" t="n">
        <v>3</v>
      </c>
      <c r="M55" s="22" t="s">
        <v>88</v>
      </c>
      <c r="N55" s="23" t="n">
        <f aca="false">INDEX(Assumptions!$B$13:$B$16,MATCH(M55,Assumptions!$A$13:$A$16,0))</f>
        <v>0.35</v>
      </c>
      <c r="O55" s="24" t="n">
        <f aca="false">L55*(1+N55)</f>
        <v>4.05</v>
      </c>
      <c r="P55" s="25" t="n">
        <f aca="false">O55*Assumptions!$B$3</f>
        <v>16.2</v>
      </c>
      <c r="Q55" s="26"/>
      <c r="R55" s="26" t="s">
        <v>106</v>
      </c>
      <c r="S55" s="20" t="s">
        <v>398</v>
      </c>
    </row>
    <row r="56" customFormat="false" ht="15" hidden="false" customHeight="true" outlineLevel="0" collapsed="false">
      <c r="A56" s="20" t="n">
        <v>55</v>
      </c>
      <c r="B56" s="20" t="s">
        <v>10</v>
      </c>
      <c r="C56" s="20" t="s">
        <v>49</v>
      </c>
      <c r="D56" s="20" t="s">
        <v>399</v>
      </c>
      <c r="E56" s="20" t="s">
        <v>400</v>
      </c>
      <c r="F56" s="20" t="s">
        <v>401</v>
      </c>
      <c r="G56" s="20" t="s">
        <v>17</v>
      </c>
      <c r="H56" s="20" t="s">
        <v>394</v>
      </c>
      <c r="I56" s="20" t="s">
        <v>30</v>
      </c>
      <c r="J56" s="20" t="s">
        <v>402</v>
      </c>
      <c r="K56" s="20" t="s">
        <v>254</v>
      </c>
      <c r="L56" s="22" t="n">
        <v>1.5</v>
      </c>
      <c r="M56" s="22" t="s">
        <v>86</v>
      </c>
      <c r="N56" s="23" t="n">
        <f aca="false">INDEX(Assumptions!$B$13:$B$16,MATCH(M56,Assumptions!$A$13:$A$16,0))</f>
        <v>0.2</v>
      </c>
      <c r="O56" s="24" t="n">
        <f aca="false">L56*(1+N56)</f>
        <v>1.8</v>
      </c>
      <c r="P56" s="25" t="n">
        <f aca="false">O56*Assumptions!$B$3</f>
        <v>7.2</v>
      </c>
      <c r="Q56" s="26"/>
      <c r="R56" s="26" t="s">
        <v>106</v>
      </c>
      <c r="S56" s="20" t="s">
        <v>403</v>
      </c>
    </row>
    <row r="57" customFormat="false" ht="26.25" hidden="false" customHeight="true" outlineLevel="0" collapsed="false">
      <c r="A57" s="20" t="n">
        <v>56</v>
      </c>
      <c r="B57" s="20" t="s">
        <v>10</v>
      </c>
      <c r="C57" s="20" t="s">
        <v>49</v>
      </c>
      <c r="D57" s="20" t="s">
        <v>404</v>
      </c>
      <c r="E57" s="20" t="s">
        <v>405</v>
      </c>
      <c r="F57" s="20" t="s">
        <v>406</v>
      </c>
      <c r="G57" s="20" t="s">
        <v>17</v>
      </c>
      <c r="H57" s="20" t="s">
        <v>394</v>
      </c>
      <c r="I57" s="20" t="s">
        <v>30</v>
      </c>
      <c r="J57" s="20" t="s">
        <v>407</v>
      </c>
      <c r="K57" s="20" t="s">
        <v>391</v>
      </c>
      <c r="L57" s="22" t="n">
        <v>2</v>
      </c>
      <c r="M57" s="22" t="s">
        <v>86</v>
      </c>
      <c r="N57" s="23" t="n">
        <f aca="false">INDEX(Assumptions!$B$13:$B$16,MATCH(M57,Assumptions!$A$13:$A$16,0))</f>
        <v>0.2</v>
      </c>
      <c r="O57" s="24" t="n">
        <f aca="false">L57*(1+N57)</f>
        <v>2.4</v>
      </c>
      <c r="P57" s="25" t="n">
        <f aca="false">O57*Assumptions!$B$3</f>
        <v>9.6</v>
      </c>
      <c r="Q57" s="26"/>
      <c r="R57" s="26" t="s">
        <v>106</v>
      </c>
      <c r="S57" s="20" t="s">
        <v>408</v>
      </c>
    </row>
    <row r="58" customFormat="false" ht="15" hidden="false" customHeight="true" outlineLevel="0" collapsed="false">
      <c r="A58" s="20" t="n">
        <v>57</v>
      </c>
      <c r="B58" s="20" t="s">
        <v>10</v>
      </c>
      <c r="C58" s="20" t="s">
        <v>49</v>
      </c>
      <c r="D58" s="20" t="s">
        <v>409</v>
      </c>
      <c r="E58" s="20" t="s">
        <v>410</v>
      </c>
      <c r="F58" s="20" t="s">
        <v>411</v>
      </c>
      <c r="G58" s="20" t="s">
        <v>17</v>
      </c>
      <c r="H58" s="20" t="s">
        <v>388</v>
      </c>
      <c r="I58" s="20" t="s">
        <v>30</v>
      </c>
      <c r="J58" s="20" t="s">
        <v>384</v>
      </c>
      <c r="K58" s="20" t="s">
        <v>391</v>
      </c>
      <c r="L58" s="22" t="n">
        <v>1</v>
      </c>
      <c r="M58" s="22" t="s">
        <v>84</v>
      </c>
      <c r="N58" s="23" t="n">
        <f aca="false">INDEX(Assumptions!$B$13:$B$16,MATCH(M58,Assumptions!$A$13:$A$16,0))</f>
        <v>0.1</v>
      </c>
      <c r="O58" s="24" t="n">
        <f aca="false">L58*(1+N58)</f>
        <v>1.1</v>
      </c>
      <c r="P58" s="25" t="n">
        <f aca="false">O58*Assumptions!$B$3</f>
        <v>4.4</v>
      </c>
      <c r="Q58" s="26"/>
      <c r="R58" s="26" t="s">
        <v>106</v>
      </c>
      <c r="S58" s="20" t="s">
        <v>412</v>
      </c>
    </row>
    <row r="59" customFormat="false" ht="15" hidden="false" customHeight="true" outlineLevel="0" collapsed="false">
      <c r="A59" s="20" t="n">
        <v>58</v>
      </c>
      <c r="B59" s="20" t="s">
        <v>10</v>
      </c>
      <c r="C59" s="20" t="s">
        <v>49</v>
      </c>
      <c r="D59" s="20" t="s">
        <v>413</v>
      </c>
      <c r="E59" s="20" t="s">
        <v>414</v>
      </c>
      <c r="F59" s="20" t="s">
        <v>415</v>
      </c>
      <c r="G59" s="20" t="s">
        <v>17</v>
      </c>
      <c r="H59" s="20" t="s">
        <v>405</v>
      </c>
      <c r="I59" s="20" t="s">
        <v>30</v>
      </c>
      <c r="J59" s="20" t="s">
        <v>416</v>
      </c>
      <c r="K59" s="20" t="s">
        <v>200</v>
      </c>
      <c r="L59" s="22" t="n">
        <v>1</v>
      </c>
      <c r="M59" s="22" t="s">
        <v>84</v>
      </c>
      <c r="N59" s="23" t="n">
        <f aca="false">INDEX(Assumptions!$B$13:$B$16,MATCH(M59,Assumptions!$A$13:$A$16,0))</f>
        <v>0.1</v>
      </c>
      <c r="O59" s="24" t="n">
        <f aca="false">L59*(1+N59)</f>
        <v>1.1</v>
      </c>
      <c r="P59" s="25" t="n">
        <f aca="false">O59*Assumptions!$B$3</f>
        <v>4.4</v>
      </c>
      <c r="Q59" s="26"/>
      <c r="R59" s="26" t="s">
        <v>106</v>
      </c>
      <c r="S59" s="20" t="s">
        <v>417</v>
      </c>
    </row>
    <row r="60" customFormat="false" ht="26.25" hidden="false" customHeight="true" outlineLevel="0" collapsed="false">
      <c r="A60" s="20" t="n">
        <v>59</v>
      </c>
      <c r="B60" s="20" t="s">
        <v>10</v>
      </c>
      <c r="C60" s="20" t="s">
        <v>49</v>
      </c>
      <c r="D60" s="20" t="s">
        <v>418</v>
      </c>
      <c r="E60" s="20" t="s">
        <v>419</v>
      </c>
      <c r="F60" s="20" t="s">
        <v>420</v>
      </c>
      <c r="G60" s="20" t="s">
        <v>17</v>
      </c>
      <c r="H60" s="20" t="s">
        <v>421</v>
      </c>
      <c r="I60" s="20" t="s">
        <v>30</v>
      </c>
      <c r="J60" s="20" t="s">
        <v>422</v>
      </c>
      <c r="K60" s="20" t="s">
        <v>423</v>
      </c>
      <c r="L60" s="22" t="n">
        <v>1</v>
      </c>
      <c r="M60" s="22" t="s">
        <v>86</v>
      </c>
      <c r="N60" s="23" t="n">
        <f aca="false">INDEX(Assumptions!$B$13:$B$16,MATCH(M60,Assumptions!$A$13:$A$16,0))</f>
        <v>0.2</v>
      </c>
      <c r="O60" s="24" t="n">
        <f aca="false">L60*(1+N60)</f>
        <v>1.2</v>
      </c>
      <c r="P60" s="25" t="n">
        <f aca="false">O60*Assumptions!$B$3</f>
        <v>4.8</v>
      </c>
      <c r="Q60" s="26"/>
      <c r="R60" s="26" t="s">
        <v>106</v>
      </c>
      <c r="S60" s="20" t="s">
        <v>424</v>
      </c>
    </row>
    <row r="61" customFormat="false" ht="15" hidden="false" customHeight="true" outlineLevel="0" collapsed="false">
      <c r="A61" s="20" t="n">
        <v>60</v>
      </c>
      <c r="B61" s="20" t="s">
        <v>10</v>
      </c>
      <c r="C61" s="20" t="s">
        <v>49</v>
      </c>
      <c r="D61" s="20" t="s">
        <v>425</v>
      </c>
      <c r="E61" s="20" t="s">
        <v>426</v>
      </c>
      <c r="F61" s="20" t="s">
        <v>427</v>
      </c>
      <c r="G61" s="20" t="s">
        <v>18</v>
      </c>
      <c r="H61" s="20" t="s">
        <v>400</v>
      </c>
      <c r="I61" s="20" t="s">
        <v>30</v>
      </c>
      <c r="J61" s="20" t="s">
        <v>428</v>
      </c>
      <c r="K61" s="20" t="s">
        <v>200</v>
      </c>
      <c r="L61" s="22" t="n">
        <v>1.5</v>
      </c>
      <c r="M61" s="22" t="s">
        <v>84</v>
      </c>
      <c r="N61" s="23" t="n">
        <f aca="false">INDEX(Assumptions!$B$13:$B$16,MATCH(M61,Assumptions!$A$13:$A$16,0))</f>
        <v>0.1</v>
      </c>
      <c r="O61" s="24" t="n">
        <f aca="false">L61*(1+N61)</f>
        <v>1.65</v>
      </c>
      <c r="P61" s="25" t="n">
        <f aca="false">O61*Assumptions!$B$3</f>
        <v>6.6</v>
      </c>
      <c r="Q61" s="26"/>
      <c r="R61" s="26" t="s">
        <v>106</v>
      </c>
      <c r="S61" s="20" t="s">
        <v>429</v>
      </c>
    </row>
    <row r="62" customFormat="false" ht="15" hidden="false" customHeight="true" outlineLevel="0" collapsed="false">
      <c r="A62" s="20" t="n">
        <v>61</v>
      </c>
      <c r="B62" s="20" t="s">
        <v>10</v>
      </c>
      <c r="C62" s="21" t="s">
        <v>50</v>
      </c>
      <c r="D62" s="20" t="s">
        <v>430</v>
      </c>
      <c r="E62" s="20" t="s">
        <v>431</v>
      </c>
      <c r="F62" s="20" t="s">
        <v>432</v>
      </c>
      <c r="G62" s="20" t="s">
        <v>20</v>
      </c>
      <c r="H62" s="20" t="s">
        <v>104</v>
      </c>
      <c r="I62" s="20" t="s">
        <v>30</v>
      </c>
      <c r="J62" s="20" t="s">
        <v>433</v>
      </c>
      <c r="K62" s="20" t="s">
        <v>434</v>
      </c>
      <c r="L62" s="22" t="n">
        <v>0.5</v>
      </c>
      <c r="M62" s="22" t="s">
        <v>88</v>
      </c>
      <c r="N62" s="23" t="n">
        <f aca="false">INDEX(Assumptions!$B$13:$B$16,MATCH(M62,Assumptions!$A$13:$A$16,0))</f>
        <v>0.35</v>
      </c>
      <c r="O62" s="24" t="n">
        <f aca="false">L62*(1+N62)</f>
        <v>0.675</v>
      </c>
      <c r="P62" s="25" t="n">
        <f aca="false">O62*Assumptions!$B$3</f>
        <v>2.7</v>
      </c>
      <c r="Q62" s="26"/>
      <c r="R62" s="26" t="s">
        <v>106</v>
      </c>
      <c r="S62" s="20" t="s">
        <v>435</v>
      </c>
    </row>
    <row r="63" customFormat="false" ht="26.25" hidden="false" customHeight="true" outlineLevel="0" collapsed="false">
      <c r="A63" s="20" t="n">
        <v>62</v>
      </c>
      <c r="B63" s="20" t="s">
        <v>10</v>
      </c>
      <c r="C63" s="20" t="s">
        <v>50</v>
      </c>
      <c r="D63" s="20" t="s">
        <v>436</v>
      </c>
      <c r="E63" s="20" t="s">
        <v>437</v>
      </c>
      <c r="F63" s="20" t="s">
        <v>438</v>
      </c>
      <c r="G63" s="20" t="s">
        <v>17</v>
      </c>
      <c r="H63" s="20" t="s">
        <v>329</v>
      </c>
      <c r="I63" s="20" t="s">
        <v>30</v>
      </c>
      <c r="J63" s="20" t="s">
        <v>433</v>
      </c>
      <c r="K63" s="20" t="s">
        <v>439</v>
      </c>
      <c r="L63" s="22" t="n">
        <v>3</v>
      </c>
      <c r="M63" s="22" t="s">
        <v>88</v>
      </c>
      <c r="N63" s="23" t="n">
        <f aca="false">INDEX(Assumptions!$B$13:$B$16,MATCH(M63,Assumptions!$A$13:$A$16,0))</f>
        <v>0.35</v>
      </c>
      <c r="O63" s="24" t="n">
        <f aca="false">L63*(1+N63)</f>
        <v>4.05</v>
      </c>
      <c r="P63" s="25" t="n">
        <f aca="false">O63*Assumptions!$B$3</f>
        <v>16.2</v>
      </c>
      <c r="Q63" s="26"/>
      <c r="R63" s="26" t="s">
        <v>106</v>
      </c>
      <c r="S63" s="20" t="s">
        <v>440</v>
      </c>
    </row>
    <row r="64" customFormat="false" ht="15" hidden="false" customHeight="true" outlineLevel="0" collapsed="false">
      <c r="A64" s="20" t="n">
        <v>63</v>
      </c>
      <c r="B64" s="20" t="s">
        <v>10</v>
      </c>
      <c r="C64" s="20" t="s">
        <v>50</v>
      </c>
      <c r="D64" s="20" t="s">
        <v>441</v>
      </c>
      <c r="E64" s="20" t="s">
        <v>442</v>
      </c>
      <c r="F64" s="20" t="s">
        <v>443</v>
      </c>
      <c r="G64" s="20" t="s">
        <v>17</v>
      </c>
      <c r="H64" s="20" t="s">
        <v>437</v>
      </c>
      <c r="I64" s="20" t="s">
        <v>30</v>
      </c>
      <c r="J64" s="20" t="s">
        <v>433</v>
      </c>
      <c r="K64" s="20" t="s">
        <v>200</v>
      </c>
      <c r="L64" s="22" t="n">
        <v>1</v>
      </c>
      <c r="M64" s="22" t="s">
        <v>84</v>
      </c>
      <c r="N64" s="23" t="n">
        <f aca="false">INDEX(Assumptions!$B$13:$B$16,MATCH(M64,Assumptions!$A$13:$A$16,0))</f>
        <v>0.1</v>
      </c>
      <c r="O64" s="24" t="n">
        <f aca="false">L64*(1+N64)</f>
        <v>1.1</v>
      </c>
      <c r="P64" s="25" t="n">
        <f aca="false">O64*Assumptions!$B$3</f>
        <v>4.4</v>
      </c>
      <c r="Q64" s="26"/>
      <c r="R64" s="26" t="s">
        <v>106</v>
      </c>
      <c r="S64" s="20" t="s">
        <v>444</v>
      </c>
    </row>
    <row r="65" customFormat="false" ht="15" hidden="false" customHeight="true" outlineLevel="0" collapsed="false">
      <c r="A65" s="20" t="n">
        <v>64</v>
      </c>
      <c r="B65" s="20" t="s">
        <v>10</v>
      </c>
      <c r="C65" s="20" t="s">
        <v>50</v>
      </c>
      <c r="D65" s="20" t="s">
        <v>445</v>
      </c>
      <c r="E65" s="20" t="s">
        <v>446</v>
      </c>
      <c r="F65" s="20" t="s">
        <v>447</v>
      </c>
      <c r="G65" s="20" t="s">
        <v>18</v>
      </c>
      <c r="H65" s="20" t="s">
        <v>448</v>
      </c>
      <c r="I65" s="20" t="s">
        <v>30</v>
      </c>
      <c r="J65" s="20" t="s">
        <v>449</v>
      </c>
      <c r="K65" s="20" t="s">
        <v>200</v>
      </c>
      <c r="L65" s="22" t="n">
        <v>2</v>
      </c>
      <c r="M65" s="22" t="s">
        <v>86</v>
      </c>
      <c r="N65" s="23" t="n">
        <f aca="false">INDEX(Assumptions!$B$13:$B$16,MATCH(M65,Assumptions!$A$13:$A$16,0))</f>
        <v>0.2</v>
      </c>
      <c r="O65" s="24" t="n">
        <f aca="false">L65*(1+N65)</f>
        <v>2.4</v>
      </c>
      <c r="P65" s="25" t="n">
        <f aca="false">O65*Assumptions!$B$3</f>
        <v>9.6</v>
      </c>
      <c r="Q65" s="26"/>
      <c r="R65" s="26" t="s">
        <v>106</v>
      </c>
      <c r="S65" s="20" t="s">
        <v>450</v>
      </c>
    </row>
    <row r="66" customFormat="false" ht="26.25" hidden="false" customHeight="true" outlineLevel="0" collapsed="false">
      <c r="A66" s="20" t="n">
        <v>65</v>
      </c>
      <c r="B66" s="20" t="s">
        <v>10</v>
      </c>
      <c r="C66" s="20" t="s">
        <v>50</v>
      </c>
      <c r="D66" s="20" t="s">
        <v>451</v>
      </c>
      <c r="E66" s="20" t="s">
        <v>452</v>
      </c>
      <c r="F66" s="20" t="s">
        <v>453</v>
      </c>
      <c r="G66" s="20" t="s">
        <v>17</v>
      </c>
      <c r="H66" s="20" t="s">
        <v>388</v>
      </c>
      <c r="I66" s="20" t="s">
        <v>30</v>
      </c>
      <c r="J66" s="20" t="s">
        <v>454</v>
      </c>
      <c r="K66" s="20" t="s">
        <v>391</v>
      </c>
      <c r="L66" s="22" t="n">
        <v>1</v>
      </c>
      <c r="M66" s="22" t="s">
        <v>84</v>
      </c>
      <c r="N66" s="23" t="n">
        <f aca="false">INDEX(Assumptions!$B$13:$B$16,MATCH(M66,Assumptions!$A$13:$A$16,0))</f>
        <v>0.1</v>
      </c>
      <c r="O66" s="24" t="n">
        <f aca="false">L66*(1+N66)</f>
        <v>1.1</v>
      </c>
      <c r="P66" s="25" t="n">
        <f aca="false">O66*Assumptions!$B$3</f>
        <v>4.4</v>
      </c>
      <c r="Q66" s="26"/>
      <c r="R66" s="26" t="s">
        <v>106</v>
      </c>
      <c r="S66" s="20" t="s">
        <v>455</v>
      </c>
    </row>
    <row r="67" customFormat="false" ht="26.25" hidden="false" customHeight="true" outlineLevel="0" collapsed="false">
      <c r="A67" s="20" t="n">
        <v>66</v>
      </c>
      <c r="B67" s="20" t="s">
        <v>10</v>
      </c>
      <c r="C67" s="20" t="s">
        <v>50</v>
      </c>
      <c r="D67" s="20" t="s">
        <v>456</v>
      </c>
      <c r="E67" s="20" t="s">
        <v>457</v>
      </c>
      <c r="F67" s="20" t="s">
        <v>458</v>
      </c>
      <c r="G67" s="20" t="s">
        <v>18</v>
      </c>
      <c r="H67" s="20" t="s">
        <v>452</v>
      </c>
      <c r="I67" s="20" t="s">
        <v>30</v>
      </c>
      <c r="J67" s="20" t="s">
        <v>459</v>
      </c>
      <c r="K67" s="20" t="s">
        <v>200</v>
      </c>
      <c r="L67" s="22" t="n">
        <v>0.5</v>
      </c>
      <c r="M67" s="22" t="s">
        <v>84</v>
      </c>
      <c r="N67" s="23" t="n">
        <f aca="false">INDEX(Assumptions!$B$13:$B$16,MATCH(M67,Assumptions!$A$13:$A$16,0))</f>
        <v>0.1</v>
      </c>
      <c r="O67" s="24" t="n">
        <f aca="false">L67*(1+N67)</f>
        <v>0.55</v>
      </c>
      <c r="P67" s="25" t="n">
        <f aca="false">O67*Assumptions!$B$3</f>
        <v>2.2</v>
      </c>
      <c r="Q67" s="26"/>
      <c r="R67" s="26" t="s">
        <v>106</v>
      </c>
      <c r="S67" s="20" t="s">
        <v>460</v>
      </c>
    </row>
    <row r="68" customFormat="false" ht="26.25" hidden="false" customHeight="true" outlineLevel="0" collapsed="false">
      <c r="A68" s="20" t="n">
        <v>67</v>
      </c>
      <c r="B68" s="20" t="s">
        <v>10</v>
      </c>
      <c r="C68" s="20" t="s">
        <v>50</v>
      </c>
      <c r="D68" s="20" t="s">
        <v>19</v>
      </c>
      <c r="E68" s="20" t="s">
        <v>461</v>
      </c>
      <c r="F68" s="20" t="s">
        <v>462</v>
      </c>
      <c r="G68" s="20" t="s">
        <v>19</v>
      </c>
      <c r="H68" s="20" t="s">
        <v>437</v>
      </c>
      <c r="I68" s="20" t="s">
        <v>30</v>
      </c>
      <c r="J68" s="20" t="s">
        <v>104</v>
      </c>
      <c r="K68" s="20" t="s">
        <v>286</v>
      </c>
      <c r="L68" s="22" t="n">
        <v>1.5</v>
      </c>
      <c r="M68" s="22" t="s">
        <v>86</v>
      </c>
      <c r="N68" s="23" t="n">
        <f aca="false">INDEX(Assumptions!$B$13:$B$16,MATCH(M68,Assumptions!$A$13:$A$16,0))</f>
        <v>0.2</v>
      </c>
      <c r="O68" s="24" t="n">
        <f aca="false">L68*(1+N68)</f>
        <v>1.8</v>
      </c>
      <c r="P68" s="25" t="n">
        <f aca="false">O68*Assumptions!$B$3</f>
        <v>7.2</v>
      </c>
      <c r="Q68" s="26"/>
      <c r="R68" s="26" t="s">
        <v>106</v>
      </c>
      <c r="S68" s="20" t="s">
        <v>366</v>
      </c>
    </row>
    <row r="69" customFormat="false" ht="26.25" hidden="false" customHeight="true" outlineLevel="0" collapsed="false">
      <c r="A69" s="20" t="n">
        <v>68</v>
      </c>
      <c r="B69" s="20" t="s">
        <v>10</v>
      </c>
      <c r="C69" s="21" t="s">
        <v>51</v>
      </c>
      <c r="D69" s="20" t="s">
        <v>463</v>
      </c>
      <c r="E69" s="20" t="s">
        <v>464</v>
      </c>
      <c r="F69" s="20" t="s">
        <v>465</v>
      </c>
      <c r="G69" s="20" t="s">
        <v>17</v>
      </c>
      <c r="H69" s="20" t="s">
        <v>388</v>
      </c>
      <c r="I69" s="20" t="s">
        <v>31</v>
      </c>
      <c r="J69" s="20" t="s">
        <v>466</v>
      </c>
      <c r="K69" s="20" t="s">
        <v>467</v>
      </c>
      <c r="L69" s="22" t="n">
        <v>3</v>
      </c>
      <c r="M69" s="22" t="s">
        <v>88</v>
      </c>
      <c r="N69" s="23" t="n">
        <f aca="false">INDEX(Assumptions!$B$13:$B$16,MATCH(M69,Assumptions!$A$13:$A$16,0))</f>
        <v>0.35</v>
      </c>
      <c r="O69" s="24" t="n">
        <f aca="false">L69*(1+N69)</f>
        <v>4.05</v>
      </c>
      <c r="P69" s="25" t="n">
        <f aca="false">O69*Assumptions!$B$3</f>
        <v>16.2</v>
      </c>
      <c r="Q69" s="26"/>
      <c r="R69" s="26" t="s">
        <v>106</v>
      </c>
      <c r="S69" s="20" t="s">
        <v>468</v>
      </c>
    </row>
    <row r="70" customFormat="false" ht="26.25" hidden="false" customHeight="true" outlineLevel="0" collapsed="false">
      <c r="A70" s="20" t="n">
        <v>69</v>
      </c>
      <c r="B70" s="20" t="s">
        <v>10</v>
      </c>
      <c r="C70" s="20" t="s">
        <v>51</v>
      </c>
      <c r="D70" s="20" t="s">
        <v>469</v>
      </c>
      <c r="E70" s="20" t="s">
        <v>470</v>
      </c>
      <c r="F70" s="20" t="s">
        <v>471</v>
      </c>
      <c r="G70" s="20" t="s">
        <v>17</v>
      </c>
      <c r="H70" s="20" t="s">
        <v>464</v>
      </c>
      <c r="I70" s="20" t="s">
        <v>31</v>
      </c>
      <c r="J70" s="20" t="s">
        <v>472</v>
      </c>
      <c r="K70" s="20" t="s">
        <v>391</v>
      </c>
      <c r="L70" s="22" t="n">
        <v>1.5</v>
      </c>
      <c r="M70" s="22" t="s">
        <v>86</v>
      </c>
      <c r="N70" s="23" t="n">
        <f aca="false">INDEX(Assumptions!$B$13:$B$16,MATCH(M70,Assumptions!$A$13:$A$16,0))</f>
        <v>0.2</v>
      </c>
      <c r="O70" s="24" t="n">
        <f aca="false">L70*(1+N70)</f>
        <v>1.8</v>
      </c>
      <c r="P70" s="25" t="n">
        <f aca="false">O70*Assumptions!$B$3</f>
        <v>7.2</v>
      </c>
      <c r="Q70" s="26"/>
      <c r="R70" s="26" t="s">
        <v>106</v>
      </c>
      <c r="S70" s="20" t="s">
        <v>473</v>
      </c>
    </row>
    <row r="71" customFormat="false" ht="26.25" hidden="false" customHeight="true" outlineLevel="0" collapsed="false">
      <c r="A71" s="20" t="n">
        <v>70</v>
      </c>
      <c r="B71" s="20" t="s">
        <v>10</v>
      </c>
      <c r="C71" s="20" t="s">
        <v>51</v>
      </c>
      <c r="D71" s="20" t="s">
        <v>474</v>
      </c>
      <c r="E71" s="20" t="s">
        <v>475</v>
      </c>
      <c r="F71" s="20" t="s">
        <v>476</v>
      </c>
      <c r="G71" s="20" t="s">
        <v>17</v>
      </c>
      <c r="H71" s="20" t="s">
        <v>464</v>
      </c>
      <c r="I71" s="20" t="s">
        <v>31</v>
      </c>
      <c r="J71" s="20" t="s">
        <v>477</v>
      </c>
      <c r="K71" s="20" t="s">
        <v>200</v>
      </c>
      <c r="L71" s="22" t="n">
        <v>0.5</v>
      </c>
      <c r="M71" s="22" t="s">
        <v>84</v>
      </c>
      <c r="N71" s="23" t="n">
        <f aca="false">INDEX(Assumptions!$B$13:$B$16,MATCH(M71,Assumptions!$A$13:$A$16,0))</f>
        <v>0.1</v>
      </c>
      <c r="O71" s="24" t="n">
        <f aca="false">L71*(1+N71)</f>
        <v>0.55</v>
      </c>
      <c r="P71" s="25" t="n">
        <f aca="false">O71*Assumptions!$B$3</f>
        <v>2.2</v>
      </c>
      <c r="Q71" s="26"/>
      <c r="R71" s="26" t="s">
        <v>106</v>
      </c>
      <c r="S71" s="20" t="s">
        <v>478</v>
      </c>
    </row>
    <row r="72" customFormat="false" ht="26.25" hidden="false" customHeight="true" outlineLevel="0" collapsed="false">
      <c r="A72" s="20" t="n">
        <v>71</v>
      </c>
      <c r="B72" s="20" t="s">
        <v>10</v>
      </c>
      <c r="C72" s="21" t="s">
        <v>52</v>
      </c>
      <c r="D72" s="20" t="s">
        <v>479</v>
      </c>
      <c r="E72" s="20" t="s">
        <v>480</v>
      </c>
      <c r="F72" s="20" t="s">
        <v>481</v>
      </c>
      <c r="G72" s="20" t="s">
        <v>17</v>
      </c>
      <c r="H72" s="20" t="s">
        <v>323</v>
      </c>
      <c r="I72" s="20" t="s">
        <v>31</v>
      </c>
      <c r="J72" s="20" t="s">
        <v>482</v>
      </c>
      <c r="K72" s="20" t="s">
        <v>347</v>
      </c>
      <c r="L72" s="22" t="n">
        <v>2</v>
      </c>
      <c r="M72" s="22" t="s">
        <v>86</v>
      </c>
      <c r="N72" s="23" t="n">
        <f aca="false">INDEX(Assumptions!$B$13:$B$16,MATCH(M72,Assumptions!$A$13:$A$16,0))</f>
        <v>0.2</v>
      </c>
      <c r="O72" s="24" t="n">
        <f aca="false">L72*(1+N72)</f>
        <v>2.4</v>
      </c>
      <c r="P72" s="25" t="n">
        <f aca="false">O72*Assumptions!$B$3</f>
        <v>9.6</v>
      </c>
      <c r="Q72" s="26"/>
      <c r="R72" s="26" t="s">
        <v>106</v>
      </c>
      <c r="S72" s="20" t="s">
        <v>483</v>
      </c>
    </row>
    <row r="73" customFormat="false" ht="15" hidden="false" customHeight="true" outlineLevel="0" collapsed="false">
      <c r="A73" s="20" t="n">
        <v>72</v>
      </c>
      <c r="B73" s="20" t="s">
        <v>10</v>
      </c>
      <c r="C73" s="20" t="s">
        <v>52</v>
      </c>
      <c r="D73" s="20" t="s">
        <v>484</v>
      </c>
      <c r="E73" s="20" t="s">
        <v>485</v>
      </c>
      <c r="F73" s="20" t="s">
        <v>486</v>
      </c>
      <c r="G73" s="20" t="s">
        <v>17</v>
      </c>
      <c r="H73" s="20" t="s">
        <v>480</v>
      </c>
      <c r="I73" s="20" t="s">
        <v>31</v>
      </c>
      <c r="J73" s="20" t="s">
        <v>487</v>
      </c>
      <c r="K73" s="20" t="s">
        <v>200</v>
      </c>
      <c r="L73" s="22" t="n">
        <v>1.5</v>
      </c>
      <c r="M73" s="22" t="s">
        <v>86</v>
      </c>
      <c r="N73" s="23" t="n">
        <f aca="false">INDEX(Assumptions!$B$13:$B$16,MATCH(M73,Assumptions!$A$13:$A$16,0))</f>
        <v>0.2</v>
      </c>
      <c r="O73" s="24" t="n">
        <f aca="false">L73*(1+N73)</f>
        <v>1.8</v>
      </c>
      <c r="P73" s="25" t="n">
        <f aca="false">O73*Assumptions!$B$3</f>
        <v>7.2</v>
      </c>
      <c r="Q73" s="26"/>
      <c r="R73" s="26" t="s">
        <v>106</v>
      </c>
      <c r="S73" s="20" t="s">
        <v>488</v>
      </c>
    </row>
    <row r="74" customFormat="false" ht="26.25" hidden="false" customHeight="true" outlineLevel="0" collapsed="false">
      <c r="A74" s="20" t="n">
        <v>73</v>
      </c>
      <c r="B74" s="20" t="s">
        <v>10</v>
      </c>
      <c r="C74" s="20" t="s">
        <v>52</v>
      </c>
      <c r="D74" s="20" t="s">
        <v>489</v>
      </c>
      <c r="E74" s="20" t="s">
        <v>490</v>
      </c>
      <c r="F74" s="20" t="s">
        <v>491</v>
      </c>
      <c r="G74" s="20" t="s">
        <v>17</v>
      </c>
      <c r="H74" s="20" t="s">
        <v>492</v>
      </c>
      <c r="I74" s="20" t="s">
        <v>31</v>
      </c>
      <c r="J74" s="20" t="s">
        <v>493</v>
      </c>
      <c r="K74" s="20" t="s">
        <v>200</v>
      </c>
      <c r="L74" s="22" t="n">
        <v>1</v>
      </c>
      <c r="M74" s="22" t="s">
        <v>84</v>
      </c>
      <c r="N74" s="23" t="n">
        <f aca="false">INDEX(Assumptions!$B$13:$B$16,MATCH(M74,Assumptions!$A$13:$A$16,0))</f>
        <v>0.1</v>
      </c>
      <c r="O74" s="24" t="n">
        <f aca="false">L74*(1+N74)</f>
        <v>1.1</v>
      </c>
      <c r="P74" s="25" t="n">
        <f aca="false">O74*Assumptions!$B$3</f>
        <v>4.4</v>
      </c>
      <c r="Q74" s="26"/>
      <c r="R74" s="26" t="s">
        <v>106</v>
      </c>
      <c r="S74" s="20" t="s">
        <v>494</v>
      </c>
    </row>
    <row r="75" customFormat="false" ht="15" hidden="false" customHeight="true" outlineLevel="0" collapsed="false">
      <c r="A75" s="20" t="n">
        <v>74</v>
      </c>
      <c r="B75" s="20" t="s">
        <v>10</v>
      </c>
      <c r="C75" s="20" t="s">
        <v>52</v>
      </c>
      <c r="D75" s="20" t="s">
        <v>495</v>
      </c>
      <c r="E75" s="20" t="s">
        <v>496</v>
      </c>
      <c r="F75" s="20" t="s">
        <v>497</v>
      </c>
      <c r="G75" s="20" t="s">
        <v>17</v>
      </c>
      <c r="H75" s="20" t="s">
        <v>268</v>
      </c>
      <c r="I75" s="20" t="s">
        <v>31</v>
      </c>
      <c r="J75" s="20" t="s">
        <v>498</v>
      </c>
      <c r="K75" s="20" t="s">
        <v>237</v>
      </c>
      <c r="L75" s="22" t="n">
        <v>0.5</v>
      </c>
      <c r="M75" s="22" t="s">
        <v>84</v>
      </c>
      <c r="N75" s="23" t="n">
        <f aca="false">INDEX(Assumptions!$B$13:$B$16,MATCH(M75,Assumptions!$A$13:$A$16,0))</f>
        <v>0.1</v>
      </c>
      <c r="O75" s="24" t="n">
        <f aca="false">L75*(1+N75)</f>
        <v>0.55</v>
      </c>
      <c r="P75" s="25" t="n">
        <f aca="false">O75*Assumptions!$B$3</f>
        <v>2.2</v>
      </c>
      <c r="Q75" s="26"/>
      <c r="R75" s="26" t="s">
        <v>106</v>
      </c>
      <c r="S75" s="20" t="s">
        <v>499</v>
      </c>
    </row>
    <row r="76" customFormat="false" ht="15" hidden="false" customHeight="true" outlineLevel="0" collapsed="false">
      <c r="A76" s="20" t="n">
        <v>75</v>
      </c>
      <c r="B76" s="20" t="s">
        <v>10</v>
      </c>
      <c r="C76" s="20" t="s">
        <v>52</v>
      </c>
      <c r="D76" s="20" t="s">
        <v>500</v>
      </c>
      <c r="E76" s="20" t="s">
        <v>501</v>
      </c>
      <c r="F76" s="20" t="s">
        <v>502</v>
      </c>
      <c r="G76" s="20" t="s">
        <v>17</v>
      </c>
      <c r="H76" s="20" t="s">
        <v>191</v>
      </c>
      <c r="I76" s="20" t="s">
        <v>31</v>
      </c>
      <c r="J76" s="20" t="s">
        <v>503</v>
      </c>
      <c r="K76" s="20" t="s">
        <v>504</v>
      </c>
      <c r="L76" s="22" t="n">
        <v>1.5</v>
      </c>
      <c r="M76" s="22" t="s">
        <v>84</v>
      </c>
      <c r="N76" s="23" t="n">
        <f aca="false">INDEX(Assumptions!$B$13:$B$16,MATCH(M76,Assumptions!$A$13:$A$16,0))</f>
        <v>0.1</v>
      </c>
      <c r="O76" s="24" t="n">
        <f aca="false">L76*(1+N76)</f>
        <v>1.65</v>
      </c>
      <c r="P76" s="25" t="n">
        <f aca="false">O76*Assumptions!$B$3</f>
        <v>6.6</v>
      </c>
      <c r="Q76" s="26"/>
      <c r="R76" s="26" t="s">
        <v>106</v>
      </c>
      <c r="S76" s="20" t="s">
        <v>505</v>
      </c>
    </row>
    <row r="77" customFormat="false" ht="15" hidden="false" customHeight="true" outlineLevel="0" collapsed="false">
      <c r="A77" s="20" t="n">
        <v>76</v>
      </c>
      <c r="B77" s="20" t="s">
        <v>10</v>
      </c>
      <c r="C77" s="20" t="s">
        <v>52</v>
      </c>
      <c r="D77" s="20" t="s">
        <v>506</v>
      </c>
      <c r="E77" s="20" t="s">
        <v>507</v>
      </c>
      <c r="F77" s="20" t="s">
        <v>508</v>
      </c>
      <c r="G77" s="20" t="s">
        <v>17</v>
      </c>
      <c r="H77" s="20" t="s">
        <v>410</v>
      </c>
      <c r="I77" s="20" t="s">
        <v>31</v>
      </c>
      <c r="J77" s="20" t="s">
        <v>509</v>
      </c>
      <c r="K77" s="20" t="s">
        <v>347</v>
      </c>
      <c r="L77" s="22" t="n">
        <v>1</v>
      </c>
      <c r="M77" s="22" t="s">
        <v>86</v>
      </c>
      <c r="N77" s="23" t="n">
        <f aca="false">INDEX(Assumptions!$B$13:$B$16,MATCH(M77,Assumptions!$A$13:$A$16,0))</f>
        <v>0.2</v>
      </c>
      <c r="O77" s="24" t="n">
        <f aca="false">L77*(1+N77)</f>
        <v>1.2</v>
      </c>
      <c r="P77" s="25" t="n">
        <f aca="false">O77*Assumptions!$B$3</f>
        <v>4.8</v>
      </c>
      <c r="Q77" s="26"/>
      <c r="R77" s="26" t="s">
        <v>106</v>
      </c>
      <c r="S77" s="20" t="s">
        <v>510</v>
      </c>
    </row>
    <row r="78" customFormat="false" ht="26.25" hidden="false" customHeight="true" outlineLevel="0" collapsed="false">
      <c r="A78" s="20" t="n">
        <v>77</v>
      </c>
      <c r="B78" s="20" t="s">
        <v>10</v>
      </c>
      <c r="C78" s="20" t="s">
        <v>52</v>
      </c>
      <c r="D78" s="20" t="s">
        <v>511</v>
      </c>
      <c r="E78" s="20" t="s">
        <v>512</v>
      </c>
      <c r="F78" s="20" t="s">
        <v>513</v>
      </c>
      <c r="G78" s="20" t="s">
        <v>18</v>
      </c>
      <c r="H78" s="20" t="s">
        <v>480</v>
      </c>
      <c r="I78" s="20" t="s">
        <v>31</v>
      </c>
      <c r="J78" s="20" t="s">
        <v>514</v>
      </c>
      <c r="K78" s="20" t="s">
        <v>200</v>
      </c>
      <c r="L78" s="22" t="n">
        <v>3</v>
      </c>
      <c r="M78" s="22" t="s">
        <v>86</v>
      </c>
      <c r="N78" s="23" t="n">
        <f aca="false">INDEX(Assumptions!$B$13:$B$16,MATCH(M78,Assumptions!$A$13:$A$16,0))</f>
        <v>0.2</v>
      </c>
      <c r="O78" s="24" t="n">
        <f aca="false">L78*(1+N78)</f>
        <v>3.6</v>
      </c>
      <c r="P78" s="25" t="n">
        <f aca="false">O78*Assumptions!$B$3</f>
        <v>14.4</v>
      </c>
      <c r="Q78" s="26"/>
      <c r="R78" s="26" t="s">
        <v>106</v>
      </c>
      <c r="S78" s="20" t="s">
        <v>515</v>
      </c>
    </row>
    <row r="79" customFormat="false" ht="26.25" hidden="false" customHeight="true" outlineLevel="0" collapsed="false">
      <c r="A79" s="20" t="n">
        <v>78</v>
      </c>
      <c r="B79" s="20" t="s">
        <v>10</v>
      </c>
      <c r="C79" s="20" t="s">
        <v>52</v>
      </c>
      <c r="D79" s="20" t="s">
        <v>516</v>
      </c>
      <c r="E79" s="20" t="s">
        <v>517</v>
      </c>
      <c r="F79" s="20" t="s">
        <v>518</v>
      </c>
      <c r="G79" s="20" t="s">
        <v>18</v>
      </c>
      <c r="H79" s="20" t="s">
        <v>501</v>
      </c>
      <c r="I79" s="20" t="s">
        <v>31</v>
      </c>
      <c r="J79" s="20" t="s">
        <v>503</v>
      </c>
      <c r="K79" s="20" t="s">
        <v>504</v>
      </c>
      <c r="L79" s="22" t="n">
        <v>2.5</v>
      </c>
      <c r="M79" s="22" t="s">
        <v>86</v>
      </c>
      <c r="N79" s="23" t="n">
        <f aca="false">INDEX(Assumptions!$B$13:$B$16,MATCH(M79,Assumptions!$A$13:$A$16,0))</f>
        <v>0.2</v>
      </c>
      <c r="O79" s="24" t="n">
        <f aca="false">L79*(1+N79)</f>
        <v>3</v>
      </c>
      <c r="P79" s="25" t="n">
        <f aca="false">O79*Assumptions!$B$3</f>
        <v>12</v>
      </c>
      <c r="Q79" s="26"/>
      <c r="R79" s="26" t="s">
        <v>106</v>
      </c>
      <c r="S79" s="20" t="s">
        <v>519</v>
      </c>
    </row>
    <row r="80" customFormat="false" ht="15" hidden="false" customHeight="true" outlineLevel="0" collapsed="false">
      <c r="A80" s="20" t="n">
        <v>79</v>
      </c>
      <c r="B80" s="20" t="s">
        <v>10</v>
      </c>
      <c r="C80" s="21" t="s">
        <v>53</v>
      </c>
      <c r="D80" s="20" t="s">
        <v>520</v>
      </c>
      <c r="E80" s="20" t="s">
        <v>521</v>
      </c>
      <c r="F80" s="20" t="s">
        <v>522</v>
      </c>
      <c r="G80" s="20" t="s">
        <v>17</v>
      </c>
      <c r="H80" s="20" t="s">
        <v>234</v>
      </c>
      <c r="I80" s="20" t="s">
        <v>31</v>
      </c>
      <c r="J80" s="20" t="s">
        <v>523</v>
      </c>
      <c r="K80" s="20" t="s">
        <v>524</v>
      </c>
      <c r="L80" s="22" t="n">
        <v>1.5</v>
      </c>
      <c r="M80" s="22" t="s">
        <v>86</v>
      </c>
      <c r="N80" s="23" t="n">
        <f aca="false">INDEX(Assumptions!$B$13:$B$16,MATCH(M80,Assumptions!$A$13:$A$16,0))</f>
        <v>0.2</v>
      </c>
      <c r="O80" s="24" t="n">
        <f aca="false">L80*(1+N80)</f>
        <v>1.8</v>
      </c>
      <c r="P80" s="25" t="n">
        <f aca="false">O80*Assumptions!$B$3</f>
        <v>7.2</v>
      </c>
      <c r="Q80" s="26"/>
      <c r="R80" s="26" t="s">
        <v>106</v>
      </c>
      <c r="S80" s="20" t="s">
        <v>525</v>
      </c>
    </row>
    <row r="81" customFormat="false" ht="26.25" hidden="false" customHeight="true" outlineLevel="0" collapsed="false">
      <c r="A81" s="20" t="n">
        <v>80</v>
      </c>
      <c r="B81" s="20" t="s">
        <v>10</v>
      </c>
      <c r="C81" s="20" t="s">
        <v>53</v>
      </c>
      <c r="D81" s="20" t="s">
        <v>526</v>
      </c>
      <c r="E81" s="20" t="s">
        <v>527</v>
      </c>
      <c r="F81" s="20" t="s">
        <v>528</v>
      </c>
      <c r="G81" s="20" t="s">
        <v>17</v>
      </c>
      <c r="H81" s="20" t="s">
        <v>388</v>
      </c>
      <c r="I81" s="20" t="s">
        <v>31</v>
      </c>
      <c r="J81" s="20" t="s">
        <v>529</v>
      </c>
      <c r="K81" s="20" t="s">
        <v>391</v>
      </c>
      <c r="L81" s="22" t="n">
        <v>1</v>
      </c>
      <c r="M81" s="22" t="s">
        <v>86</v>
      </c>
      <c r="N81" s="23" t="n">
        <f aca="false">INDEX(Assumptions!$B$13:$B$16,MATCH(M81,Assumptions!$A$13:$A$16,0))</f>
        <v>0.2</v>
      </c>
      <c r="O81" s="24" t="n">
        <f aca="false">L81*(1+N81)</f>
        <v>1.2</v>
      </c>
      <c r="P81" s="25" t="n">
        <f aca="false">O81*Assumptions!$B$3</f>
        <v>4.8</v>
      </c>
      <c r="Q81" s="26"/>
      <c r="R81" s="26" t="s">
        <v>106</v>
      </c>
      <c r="S81" s="20" t="s">
        <v>530</v>
      </c>
    </row>
    <row r="82" customFormat="false" ht="15" hidden="false" customHeight="true" outlineLevel="0" collapsed="false">
      <c r="A82" s="20" t="n">
        <v>81</v>
      </c>
      <c r="B82" s="20" t="s">
        <v>10</v>
      </c>
      <c r="C82" s="20" t="s">
        <v>53</v>
      </c>
      <c r="D82" s="20" t="s">
        <v>531</v>
      </c>
      <c r="E82" s="20" t="s">
        <v>532</v>
      </c>
      <c r="F82" s="20" t="s">
        <v>533</v>
      </c>
      <c r="G82" s="20" t="s">
        <v>17</v>
      </c>
      <c r="H82" s="20" t="s">
        <v>521</v>
      </c>
      <c r="I82" s="20" t="s">
        <v>31</v>
      </c>
      <c r="J82" s="20" t="s">
        <v>534</v>
      </c>
      <c r="K82" s="20" t="s">
        <v>237</v>
      </c>
      <c r="L82" s="22" t="n">
        <v>1</v>
      </c>
      <c r="M82" s="22" t="s">
        <v>86</v>
      </c>
      <c r="N82" s="23" t="n">
        <f aca="false">INDEX(Assumptions!$B$13:$B$16,MATCH(M82,Assumptions!$A$13:$A$16,0))</f>
        <v>0.2</v>
      </c>
      <c r="O82" s="24" t="n">
        <f aca="false">L82*(1+N82)</f>
        <v>1.2</v>
      </c>
      <c r="P82" s="25" t="n">
        <f aca="false">O82*Assumptions!$B$3</f>
        <v>4.8</v>
      </c>
      <c r="Q82" s="26"/>
      <c r="R82" s="26" t="s">
        <v>106</v>
      </c>
      <c r="S82" s="20" t="s">
        <v>535</v>
      </c>
    </row>
    <row r="83" customFormat="false" ht="15" hidden="false" customHeight="true" outlineLevel="0" collapsed="false">
      <c r="A83" s="20" t="n">
        <v>82</v>
      </c>
      <c r="B83" s="20" t="s">
        <v>10</v>
      </c>
      <c r="C83" s="20" t="s">
        <v>53</v>
      </c>
      <c r="D83" s="20" t="s">
        <v>536</v>
      </c>
      <c r="E83" s="20" t="s">
        <v>537</v>
      </c>
      <c r="F83" s="20" t="s">
        <v>538</v>
      </c>
      <c r="G83" s="20" t="s">
        <v>18</v>
      </c>
      <c r="H83" s="20" t="s">
        <v>521</v>
      </c>
      <c r="I83" s="20" t="s">
        <v>31</v>
      </c>
      <c r="J83" s="20" t="s">
        <v>539</v>
      </c>
      <c r="K83" s="20" t="s">
        <v>540</v>
      </c>
      <c r="L83" s="22" t="n">
        <v>0.5</v>
      </c>
      <c r="M83" s="22" t="s">
        <v>84</v>
      </c>
      <c r="N83" s="23" t="n">
        <f aca="false">INDEX(Assumptions!$B$13:$B$16,MATCH(M83,Assumptions!$A$13:$A$16,0))</f>
        <v>0.1</v>
      </c>
      <c r="O83" s="24" t="n">
        <f aca="false">L83*(1+N83)</f>
        <v>0.55</v>
      </c>
      <c r="P83" s="25" t="n">
        <f aca="false">O83*Assumptions!$B$3</f>
        <v>2.2</v>
      </c>
      <c r="Q83" s="26"/>
      <c r="R83" s="26" t="s">
        <v>106</v>
      </c>
      <c r="S83" s="20" t="s">
        <v>541</v>
      </c>
    </row>
    <row r="84" customFormat="false" ht="26.25" hidden="false" customHeight="true" outlineLevel="0" collapsed="false">
      <c r="A84" s="20" t="n">
        <v>83</v>
      </c>
      <c r="B84" s="20" t="s">
        <v>10</v>
      </c>
      <c r="C84" s="20" t="s">
        <v>53</v>
      </c>
      <c r="D84" s="20" t="s">
        <v>542</v>
      </c>
      <c r="E84" s="20" t="s">
        <v>543</v>
      </c>
      <c r="F84" s="20" t="s">
        <v>544</v>
      </c>
      <c r="G84" s="20" t="s">
        <v>18</v>
      </c>
      <c r="H84" s="20" t="s">
        <v>532</v>
      </c>
      <c r="I84" s="20" t="s">
        <v>31</v>
      </c>
      <c r="J84" s="20" t="s">
        <v>545</v>
      </c>
      <c r="K84" s="20" t="s">
        <v>200</v>
      </c>
      <c r="L84" s="22" t="n">
        <v>0.5</v>
      </c>
      <c r="M84" s="22" t="s">
        <v>84</v>
      </c>
      <c r="N84" s="23" t="n">
        <f aca="false">INDEX(Assumptions!$B$13:$B$16,MATCH(M84,Assumptions!$A$13:$A$16,0))</f>
        <v>0.1</v>
      </c>
      <c r="O84" s="24" t="n">
        <f aca="false">L84*(1+N84)</f>
        <v>0.55</v>
      </c>
      <c r="P84" s="25" t="n">
        <f aca="false">O84*Assumptions!$B$3</f>
        <v>2.2</v>
      </c>
      <c r="Q84" s="26"/>
      <c r="R84" s="26" t="s">
        <v>106</v>
      </c>
      <c r="S84" s="20" t="s">
        <v>104</v>
      </c>
    </row>
    <row r="85" customFormat="false" ht="15" hidden="false" customHeight="true" outlineLevel="0" collapsed="false">
      <c r="A85" s="20" t="n">
        <v>84</v>
      </c>
      <c r="B85" s="20" t="s">
        <v>10</v>
      </c>
      <c r="C85" s="21" t="s">
        <v>54</v>
      </c>
      <c r="D85" s="20" t="s">
        <v>546</v>
      </c>
      <c r="E85" s="20" t="s">
        <v>547</v>
      </c>
      <c r="F85" s="20" t="s">
        <v>548</v>
      </c>
      <c r="G85" s="20" t="s">
        <v>17</v>
      </c>
      <c r="H85" s="20" t="s">
        <v>388</v>
      </c>
      <c r="I85" s="20" t="s">
        <v>31</v>
      </c>
      <c r="J85" s="20" t="s">
        <v>549</v>
      </c>
      <c r="K85" s="20" t="s">
        <v>550</v>
      </c>
      <c r="L85" s="22" t="n">
        <v>1.5</v>
      </c>
      <c r="M85" s="22" t="s">
        <v>86</v>
      </c>
      <c r="N85" s="23" t="n">
        <f aca="false">INDEX(Assumptions!$B$13:$B$16,MATCH(M85,Assumptions!$A$13:$A$16,0))</f>
        <v>0.2</v>
      </c>
      <c r="O85" s="24" t="n">
        <f aca="false">L85*(1+N85)</f>
        <v>1.8</v>
      </c>
      <c r="P85" s="25" t="n">
        <f aca="false">O85*Assumptions!$B$3</f>
        <v>7.2</v>
      </c>
      <c r="Q85" s="26"/>
      <c r="R85" s="26" t="s">
        <v>106</v>
      </c>
      <c r="S85" s="20" t="s">
        <v>551</v>
      </c>
    </row>
    <row r="86" customFormat="false" ht="15" hidden="false" customHeight="true" outlineLevel="0" collapsed="false">
      <c r="A86" s="20" t="n">
        <v>85</v>
      </c>
      <c r="B86" s="20" t="s">
        <v>10</v>
      </c>
      <c r="C86" s="20" t="s">
        <v>54</v>
      </c>
      <c r="D86" s="20" t="s">
        <v>552</v>
      </c>
      <c r="E86" s="20" t="s">
        <v>553</v>
      </c>
      <c r="F86" s="20" t="s">
        <v>554</v>
      </c>
      <c r="G86" s="20" t="s">
        <v>17</v>
      </c>
      <c r="H86" s="20" t="s">
        <v>130</v>
      </c>
      <c r="I86" s="20" t="s">
        <v>31</v>
      </c>
      <c r="J86" s="20" t="s">
        <v>555</v>
      </c>
      <c r="K86" s="20" t="s">
        <v>556</v>
      </c>
      <c r="L86" s="22" t="n">
        <v>1</v>
      </c>
      <c r="M86" s="22" t="s">
        <v>86</v>
      </c>
      <c r="N86" s="23" t="n">
        <f aca="false">INDEX(Assumptions!$B$13:$B$16,MATCH(M86,Assumptions!$A$13:$A$16,0))</f>
        <v>0.2</v>
      </c>
      <c r="O86" s="24" t="n">
        <f aca="false">L86*(1+N86)</f>
        <v>1.2</v>
      </c>
      <c r="P86" s="25" t="n">
        <f aca="false">O86*Assumptions!$B$3</f>
        <v>4.8</v>
      </c>
      <c r="Q86" s="26"/>
      <c r="R86" s="26" t="s">
        <v>106</v>
      </c>
      <c r="S86" s="20" t="s">
        <v>557</v>
      </c>
    </row>
    <row r="87" customFormat="false" ht="26.25" hidden="false" customHeight="true" outlineLevel="0" collapsed="false">
      <c r="A87" s="20" t="n">
        <v>86</v>
      </c>
      <c r="B87" s="20" t="s">
        <v>10</v>
      </c>
      <c r="C87" s="20" t="s">
        <v>54</v>
      </c>
      <c r="D87" s="20" t="s">
        <v>19</v>
      </c>
      <c r="E87" s="20" t="s">
        <v>558</v>
      </c>
      <c r="F87" s="20" t="s">
        <v>559</v>
      </c>
      <c r="G87" s="20" t="s">
        <v>19</v>
      </c>
      <c r="H87" s="20" t="s">
        <v>512</v>
      </c>
      <c r="I87" s="20" t="s">
        <v>31</v>
      </c>
      <c r="J87" s="20" t="s">
        <v>104</v>
      </c>
      <c r="K87" s="20" t="s">
        <v>286</v>
      </c>
      <c r="L87" s="22" t="n">
        <v>2</v>
      </c>
      <c r="M87" s="22" t="s">
        <v>86</v>
      </c>
      <c r="N87" s="23" t="n">
        <f aca="false">INDEX(Assumptions!$B$13:$B$16,MATCH(M87,Assumptions!$A$13:$A$16,0))</f>
        <v>0.2</v>
      </c>
      <c r="O87" s="24" t="n">
        <f aca="false">L87*(1+N87)</f>
        <v>2.4</v>
      </c>
      <c r="P87" s="25" t="n">
        <f aca="false">O87*Assumptions!$B$3</f>
        <v>9.6</v>
      </c>
      <c r="Q87" s="26"/>
      <c r="R87" s="26" t="s">
        <v>106</v>
      </c>
      <c r="S87" s="20" t="s">
        <v>366</v>
      </c>
    </row>
    <row r="88" customFormat="false" ht="26.25" hidden="false" customHeight="true" outlineLevel="0" collapsed="false">
      <c r="A88" s="20" t="n">
        <v>87</v>
      </c>
      <c r="B88" s="20" t="s">
        <v>10</v>
      </c>
      <c r="C88" s="20" t="s">
        <v>54</v>
      </c>
      <c r="D88" s="20" t="s">
        <v>560</v>
      </c>
      <c r="E88" s="20" t="s">
        <v>561</v>
      </c>
      <c r="F88" s="20" t="s">
        <v>562</v>
      </c>
      <c r="G88" s="20" t="s">
        <v>20</v>
      </c>
      <c r="H88" s="20" t="s">
        <v>563</v>
      </c>
      <c r="I88" s="20" t="s">
        <v>31</v>
      </c>
      <c r="J88" s="20" t="s">
        <v>104</v>
      </c>
      <c r="K88" s="20" t="s">
        <v>157</v>
      </c>
      <c r="L88" s="22" t="n">
        <v>2</v>
      </c>
      <c r="M88" s="22" t="s">
        <v>88</v>
      </c>
      <c r="N88" s="23" t="n">
        <f aca="false">INDEX(Assumptions!$B$13:$B$16,MATCH(M88,Assumptions!$A$13:$A$16,0))</f>
        <v>0.35</v>
      </c>
      <c r="O88" s="24" t="n">
        <f aca="false">L88*(1+N88)</f>
        <v>2.7</v>
      </c>
      <c r="P88" s="25" t="n">
        <f aca="false">O88*Assumptions!$B$3</f>
        <v>10.8</v>
      </c>
      <c r="Q88" s="26"/>
      <c r="R88" s="26" t="s">
        <v>106</v>
      </c>
      <c r="S88" s="20" t="s">
        <v>564</v>
      </c>
    </row>
    <row r="89" customFormat="false" ht="15" hidden="false" customHeight="true" outlineLevel="0" collapsed="false">
      <c r="A89" s="20" t="n">
        <v>88</v>
      </c>
      <c r="B89" s="20" t="s">
        <v>10</v>
      </c>
      <c r="C89" s="20" t="s">
        <v>54</v>
      </c>
      <c r="D89" s="20" t="s">
        <v>565</v>
      </c>
      <c r="E89" s="20" t="s">
        <v>566</v>
      </c>
      <c r="F89" s="20" t="s">
        <v>567</v>
      </c>
      <c r="G89" s="20" t="s">
        <v>20</v>
      </c>
      <c r="H89" s="20" t="s">
        <v>561</v>
      </c>
      <c r="I89" s="20" t="s">
        <v>31</v>
      </c>
      <c r="J89" s="20" t="s">
        <v>104</v>
      </c>
      <c r="K89" s="20" t="s">
        <v>370</v>
      </c>
      <c r="L89" s="22" t="n">
        <v>0.5</v>
      </c>
      <c r="M89" s="22" t="s">
        <v>86</v>
      </c>
      <c r="N89" s="23" t="n">
        <f aca="false">INDEX(Assumptions!$B$13:$B$16,MATCH(M89,Assumptions!$A$13:$A$16,0))</f>
        <v>0.2</v>
      </c>
      <c r="O89" s="24" t="n">
        <f aca="false">L89*(1+N89)</f>
        <v>0.6</v>
      </c>
      <c r="P89" s="25" t="n">
        <f aca="false">O89*Assumptions!$B$3</f>
        <v>2.4</v>
      </c>
      <c r="Q89" s="26"/>
      <c r="R89" s="26" t="s">
        <v>106</v>
      </c>
      <c r="S89" s="20" t="s">
        <v>568</v>
      </c>
    </row>
    <row r="90" customFormat="false" ht="26.25" hidden="false" customHeight="true" outlineLevel="0" collapsed="false">
      <c r="A90" s="20" t="n">
        <v>89</v>
      </c>
      <c r="B90" s="20" t="s">
        <v>10</v>
      </c>
      <c r="C90" s="21" t="s">
        <v>55</v>
      </c>
      <c r="D90" s="20" t="s">
        <v>569</v>
      </c>
      <c r="E90" s="20" t="s">
        <v>570</v>
      </c>
      <c r="F90" s="20" t="s">
        <v>571</v>
      </c>
      <c r="G90" s="20" t="s">
        <v>17</v>
      </c>
      <c r="H90" s="20" t="s">
        <v>268</v>
      </c>
      <c r="I90" s="20" t="s">
        <v>32</v>
      </c>
      <c r="J90" s="20" t="s">
        <v>572</v>
      </c>
      <c r="K90" s="20" t="s">
        <v>237</v>
      </c>
      <c r="L90" s="22" t="n">
        <v>2</v>
      </c>
      <c r="M90" s="22" t="s">
        <v>86</v>
      </c>
      <c r="N90" s="23" t="n">
        <f aca="false">INDEX(Assumptions!$B$13:$B$16,MATCH(M90,Assumptions!$A$13:$A$16,0))</f>
        <v>0.2</v>
      </c>
      <c r="O90" s="24" t="n">
        <f aca="false">L90*(1+N90)</f>
        <v>2.4</v>
      </c>
      <c r="P90" s="25" t="n">
        <f aca="false">O90*Assumptions!$B$3</f>
        <v>9.6</v>
      </c>
      <c r="Q90" s="26"/>
      <c r="R90" s="26" t="s">
        <v>106</v>
      </c>
      <c r="S90" s="20" t="s">
        <v>573</v>
      </c>
    </row>
    <row r="91" customFormat="false" ht="15" hidden="false" customHeight="true" outlineLevel="0" collapsed="false">
      <c r="A91" s="20" t="n">
        <v>90</v>
      </c>
      <c r="B91" s="20" t="s">
        <v>10</v>
      </c>
      <c r="C91" s="20" t="s">
        <v>55</v>
      </c>
      <c r="D91" s="20" t="s">
        <v>574</v>
      </c>
      <c r="E91" s="20" t="s">
        <v>575</v>
      </c>
      <c r="F91" s="20" t="s">
        <v>576</v>
      </c>
      <c r="G91" s="20" t="s">
        <v>17</v>
      </c>
      <c r="H91" s="20" t="s">
        <v>388</v>
      </c>
      <c r="I91" s="20" t="s">
        <v>32</v>
      </c>
      <c r="J91" s="20" t="s">
        <v>577</v>
      </c>
      <c r="K91" s="20" t="s">
        <v>391</v>
      </c>
      <c r="L91" s="22" t="n">
        <v>2</v>
      </c>
      <c r="M91" s="22" t="s">
        <v>86</v>
      </c>
      <c r="N91" s="23" t="n">
        <f aca="false">INDEX(Assumptions!$B$13:$B$16,MATCH(M91,Assumptions!$A$13:$A$16,0))</f>
        <v>0.2</v>
      </c>
      <c r="O91" s="24" t="n">
        <f aca="false">L91*(1+N91)</f>
        <v>2.4</v>
      </c>
      <c r="P91" s="25" t="n">
        <f aca="false">O91*Assumptions!$B$3</f>
        <v>9.6</v>
      </c>
      <c r="Q91" s="26"/>
      <c r="R91" s="26" t="s">
        <v>106</v>
      </c>
      <c r="S91" s="20" t="s">
        <v>578</v>
      </c>
    </row>
    <row r="92" customFormat="false" ht="15" hidden="false" customHeight="true" outlineLevel="0" collapsed="false">
      <c r="A92" s="20" t="n">
        <v>91</v>
      </c>
      <c r="B92" s="20" t="s">
        <v>10</v>
      </c>
      <c r="C92" s="20" t="s">
        <v>55</v>
      </c>
      <c r="D92" s="20" t="s">
        <v>579</v>
      </c>
      <c r="E92" s="20" t="s">
        <v>580</v>
      </c>
      <c r="F92" s="20" t="s">
        <v>581</v>
      </c>
      <c r="G92" s="20" t="s">
        <v>18</v>
      </c>
      <c r="H92" s="20" t="s">
        <v>570</v>
      </c>
      <c r="I92" s="20" t="s">
        <v>32</v>
      </c>
      <c r="J92" s="20" t="s">
        <v>582</v>
      </c>
      <c r="K92" s="20" t="s">
        <v>200</v>
      </c>
      <c r="L92" s="22" t="n">
        <v>2.5</v>
      </c>
      <c r="M92" s="22" t="s">
        <v>86</v>
      </c>
      <c r="N92" s="23" t="n">
        <f aca="false">INDEX(Assumptions!$B$13:$B$16,MATCH(M92,Assumptions!$A$13:$A$16,0))</f>
        <v>0.2</v>
      </c>
      <c r="O92" s="24" t="n">
        <f aca="false">L92*(1+N92)</f>
        <v>3</v>
      </c>
      <c r="P92" s="25" t="n">
        <f aca="false">O92*Assumptions!$B$3</f>
        <v>12</v>
      </c>
      <c r="Q92" s="26"/>
      <c r="R92" s="26" t="s">
        <v>106</v>
      </c>
      <c r="S92" s="20" t="s">
        <v>583</v>
      </c>
    </row>
    <row r="93" customFormat="false" ht="15" hidden="false" customHeight="true" outlineLevel="0" collapsed="false">
      <c r="A93" s="20" t="n">
        <v>92</v>
      </c>
      <c r="B93" s="20" t="s">
        <v>10</v>
      </c>
      <c r="C93" s="20" t="s">
        <v>55</v>
      </c>
      <c r="D93" s="20" t="s">
        <v>381</v>
      </c>
      <c r="E93" s="20" t="s">
        <v>584</v>
      </c>
      <c r="F93" s="20" t="s">
        <v>585</v>
      </c>
      <c r="G93" s="20" t="s">
        <v>20</v>
      </c>
      <c r="H93" s="20" t="s">
        <v>382</v>
      </c>
      <c r="I93" s="20" t="s">
        <v>32</v>
      </c>
      <c r="J93" s="20" t="s">
        <v>586</v>
      </c>
      <c r="K93" s="20" t="s">
        <v>587</v>
      </c>
      <c r="L93" s="22" t="n">
        <v>0.5</v>
      </c>
      <c r="M93" s="22" t="s">
        <v>88</v>
      </c>
      <c r="N93" s="23" t="n">
        <f aca="false">INDEX(Assumptions!$B$13:$B$16,MATCH(M93,Assumptions!$A$13:$A$16,0))</f>
        <v>0.35</v>
      </c>
      <c r="O93" s="24" t="n">
        <f aca="false">L93*(1+N93)</f>
        <v>0.675</v>
      </c>
      <c r="P93" s="25" t="n">
        <f aca="false">O93*Assumptions!$B$3</f>
        <v>2.7</v>
      </c>
      <c r="Q93" s="26"/>
      <c r="R93" s="26" t="s">
        <v>106</v>
      </c>
      <c r="S93" s="20" t="s">
        <v>588</v>
      </c>
    </row>
    <row r="94" customFormat="false" ht="15" hidden="false" customHeight="true" outlineLevel="0" collapsed="false">
      <c r="A94" s="20" t="n">
        <v>93</v>
      </c>
      <c r="B94" s="20" t="s">
        <v>10</v>
      </c>
      <c r="C94" s="21" t="s">
        <v>56</v>
      </c>
      <c r="D94" s="20" t="s">
        <v>589</v>
      </c>
      <c r="E94" s="20" t="s">
        <v>590</v>
      </c>
      <c r="F94" s="20" t="s">
        <v>591</v>
      </c>
      <c r="G94" s="20" t="s">
        <v>17</v>
      </c>
      <c r="H94" s="20" t="s">
        <v>179</v>
      </c>
      <c r="I94" s="20" t="s">
        <v>32</v>
      </c>
      <c r="J94" s="20" t="s">
        <v>592</v>
      </c>
      <c r="K94" s="20" t="s">
        <v>593</v>
      </c>
      <c r="L94" s="22" t="n">
        <v>2.5</v>
      </c>
      <c r="M94" s="22" t="s">
        <v>88</v>
      </c>
      <c r="N94" s="23" t="n">
        <f aca="false">INDEX(Assumptions!$B$13:$B$16,MATCH(M94,Assumptions!$A$13:$A$16,0))</f>
        <v>0.35</v>
      </c>
      <c r="O94" s="24" t="n">
        <f aca="false">L94*(1+N94)</f>
        <v>3.375</v>
      </c>
      <c r="P94" s="25" t="n">
        <f aca="false">O94*Assumptions!$B$3</f>
        <v>13.5</v>
      </c>
      <c r="Q94" s="26"/>
      <c r="R94" s="26" t="s">
        <v>106</v>
      </c>
      <c r="S94" s="20" t="s">
        <v>594</v>
      </c>
    </row>
    <row r="95" customFormat="false" ht="15" hidden="false" customHeight="true" outlineLevel="0" collapsed="false">
      <c r="A95" s="20" t="n">
        <v>94</v>
      </c>
      <c r="B95" s="20" t="s">
        <v>10</v>
      </c>
      <c r="C95" s="20" t="s">
        <v>56</v>
      </c>
      <c r="D95" s="20" t="s">
        <v>595</v>
      </c>
      <c r="E95" s="20" t="s">
        <v>596</v>
      </c>
      <c r="F95" s="20" t="s">
        <v>597</v>
      </c>
      <c r="G95" s="20" t="s">
        <v>17</v>
      </c>
      <c r="H95" s="20" t="s">
        <v>590</v>
      </c>
      <c r="I95" s="20" t="s">
        <v>32</v>
      </c>
      <c r="J95" s="20" t="s">
        <v>598</v>
      </c>
      <c r="K95" s="20" t="s">
        <v>599</v>
      </c>
      <c r="L95" s="22" t="n">
        <v>2.5</v>
      </c>
      <c r="M95" s="22" t="s">
        <v>88</v>
      </c>
      <c r="N95" s="23" t="n">
        <f aca="false">INDEX(Assumptions!$B$13:$B$16,MATCH(M95,Assumptions!$A$13:$A$16,0))</f>
        <v>0.35</v>
      </c>
      <c r="O95" s="24" t="n">
        <f aca="false">L95*(1+N95)</f>
        <v>3.375</v>
      </c>
      <c r="P95" s="25" t="n">
        <f aca="false">O95*Assumptions!$B$3</f>
        <v>13.5</v>
      </c>
      <c r="Q95" s="26"/>
      <c r="R95" s="26" t="s">
        <v>106</v>
      </c>
      <c r="S95" s="20" t="s">
        <v>600</v>
      </c>
    </row>
    <row r="96" customFormat="false" ht="15" hidden="false" customHeight="true" outlineLevel="0" collapsed="false">
      <c r="A96" s="20" t="n">
        <v>95</v>
      </c>
      <c r="B96" s="20" t="s">
        <v>10</v>
      </c>
      <c r="C96" s="20" t="s">
        <v>56</v>
      </c>
      <c r="D96" s="20" t="s">
        <v>601</v>
      </c>
      <c r="E96" s="20" t="s">
        <v>602</v>
      </c>
      <c r="F96" s="20" t="s">
        <v>603</v>
      </c>
      <c r="G96" s="20" t="s">
        <v>17</v>
      </c>
      <c r="H96" s="20" t="s">
        <v>590</v>
      </c>
      <c r="I96" s="20" t="s">
        <v>32</v>
      </c>
      <c r="J96" s="20" t="s">
        <v>604</v>
      </c>
      <c r="K96" s="20" t="s">
        <v>605</v>
      </c>
      <c r="L96" s="22" t="n">
        <v>1.5</v>
      </c>
      <c r="M96" s="22" t="s">
        <v>86</v>
      </c>
      <c r="N96" s="23" t="n">
        <f aca="false">INDEX(Assumptions!$B$13:$B$16,MATCH(M96,Assumptions!$A$13:$A$16,0))</f>
        <v>0.2</v>
      </c>
      <c r="O96" s="24" t="n">
        <f aca="false">L96*(1+N96)</f>
        <v>1.8</v>
      </c>
      <c r="P96" s="25" t="n">
        <f aca="false">O96*Assumptions!$B$3</f>
        <v>7.2</v>
      </c>
      <c r="Q96" s="26"/>
      <c r="R96" s="26" t="s">
        <v>106</v>
      </c>
      <c r="S96" s="20" t="s">
        <v>606</v>
      </c>
    </row>
    <row r="97" customFormat="false" ht="15" hidden="false" customHeight="true" outlineLevel="0" collapsed="false">
      <c r="A97" s="20" t="n">
        <v>96</v>
      </c>
      <c r="B97" s="20" t="s">
        <v>10</v>
      </c>
      <c r="C97" s="20" t="s">
        <v>56</v>
      </c>
      <c r="D97" s="20" t="s">
        <v>607</v>
      </c>
      <c r="E97" s="20" t="s">
        <v>608</v>
      </c>
      <c r="F97" s="20" t="s">
        <v>609</v>
      </c>
      <c r="G97" s="20" t="s">
        <v>18</v>
      </c>
      <c r="H97" s="20" t="s">
        <v>610</v>
      </c>
      <c r="I97" s="20" t="s">
        <v>32</v>
      </c>
      <c r="J97" s="20" t="s">
        <v>611</v>
      </c>
      <c r="K97" s="20" t="s">
        <v>612</v>
      </c>
      <c r="L97" s="22" t="n">
        <v>3</v>
      </c>
      <c r="M97" s="22" t="s">
        <v>86</v>
      </c>
      <c r="N97" s="23" t="n">
        <f aca="false">INDEX(Assumptions!$B$13:$B$16,MATCH(M97,Assumptions!$A$13:$A$16,0))</f>
        <v>0.2</v>
      </c>
      <c r="O97" s="24" t="n">
        <f aca="false">L97*(1+N97)</f>
        <v>3.6</v>
      </c>
      <c r="P97" s="25" t="n">
        <f aca="false">O97*Assumptions!$B$3</f>
        <v>14.4</v>
      </c>
      <c r="Q97" s="26"/>
      <c r="R97" s="26" t="s">
        <v>106</v>
      </c>
      <c r="S97" s="20" t="s">
        <v>613</v>
      </c>
    </row>
    <row r="98" customFormat="false" ht="15" hidden="false" customHeight="true" outlineLevel="0" collapsed="false">
      <c r="A98" s="20" t="n">
        <v>97</v>
      </c>
      <c r="B98" s="20" t="s">
        <v>10</v>
      </c>
      <c r="C98" s="21" t="s">
        <v>57</v>
      </c>
      <c r="D98" s="20" t="s">
        <v>614</v>
      </c>
      <c r="E98" s="20" t="s">
        <v>615</v>
      </c>
      <c r="F98" s="20" t="s">
        <v>616</v>
      </c>
      <c r="G98" s="20" t="s">
        <v>17</v>
      </c>
      <c r="H98" s="20" t="s">
        <v>329</v>
      </c>
      <c r="I98" s="20" t="s">
        <v>32</v>
      </c>
      <c r="J98" s="20" t="s">
        <v>617</v>
      </c>
      <c r="K98" s="20" t="s">
        <v>122</v>
      </c>
      <c r="L98" s="22" t="n">
        <v>1</v>
      </c>
      <c r="M98" s="22" t="s">
        <v>86</v>
      </c>
      <c r="N98" s="23" t="n">
        <f aca="false">INDEX(Assumptions!$B$13:$B$16,MATCH(M98,Assumptions!$A$13:$A$16,0))</f>
        <v>0.2</v>
      </c>
      <c r="O98" s="24" t="n">
        <f aca="false">L98*(1+N98)</f>
        <v>1.2</v>
      </c>
      <c r="P98" s="25" t="n">
        <f aca="false">O98*Assumptions!$B$3</f>
        <v>4.8</v>
      </c>
      <c r="Q98" s="26"/>
      <c r="R98" s="26" t="s">
        <v>106</v>
      </c>
      <c r="S98" s="20" t="s">
        <v>618</v>
      </c>
    </row>
    <row r="99" customFormat="false" ht="15" hidden="false" customHeight="true" outlineLevel="0" collapsed="false">
      <c r="A99" s="20" t="n">
        <v>98</v>
      </c>
      <c r="B99" s="20" t="s">
        <v>10</v>
      </c>
      <c r="C99" s="20" t="s">
        <v>57</v>
      </c>
      <c r="D99" s="20" t="s">
        <v>619</v>
      </c>
      <c r="E99" s="20" t="s">
        <v>620</v>
      </c>
      <c r="F99" s="20" t="s">
        <v>621</v>
      </c>
      <c r="G99" s="20" t="s">
        <v>18</v>
      </c>
      <c r="H99" s="20" t="s">
        <v>615</v>
      </c>
      <c r="I99" s="20" t="s">
        <v>32</v>
      </c>
      <c r="J99" s="20" t="s">
        <v>617</v>
      </c>
      <c r="K99" s="20" t="s">
        <v>200</v>
      </c>
      <c r="L99" s="22" t="n">
        <v>0.5</v>
      </c>
      <c r="M99" s="22" t="s">
        <v>84</v>
      </c>
      <c r="N99" s="23" t="n">
        <f aca="false">INDEX(Assumptions!$B$13:$B$16,MATCH(M99,Assumptions!$A$13:$A$16,0))</f>
        <v>0.1</v>
      </c>
      <c r="O99" s="24" t="n">
        <f aca="false">L99*(1+N99)</f>
        <v>0.55</v>
      </c>
      <c r="P99" s="25" t="n">
        <f aca="false">O99*Assumptions!$B$3</f>
        <v>2.2</v>
      </c>
      <c r="Q99" s="26"/>
      <c r="R99" s="26" t="s">
        <v>106</v>
      </c>
      <c r="S99" s="20" t="s">
        <v>622</v>
      </c>
    </row>
    <row r="100" customFormat="false" ht="15" hidden="false" customHeight="true" outlineLevel="0" collapsed="false">
      <c r="A100" s="20" t="n">
        <v>99</v>
      </c>
      <c r="B100" s="20" t="s">
        <v>10</v>
      </c>
      <c r="C100" s="20" t="s">
        <v>57</v>
      </c>
      <c r="D100" s="20" t="s">
        <v>623</v>
      </c>
      <c r="E100" s="20" t="s">
        <v>624</v>
      </c>
      <c r="F100" s="20" t="s">
        <v>625</v>
      </c>
      <c r="G100" s="20" t="s">
        <v>17</v>
      </c>
      <c r="H100" s="20" t="s">
        <v>480</v>
      </c>
      <c r="I100" s="20" t="s">
        <v>32</v>
      </c>
      <c r="J100" s="20" t="s">
        <v>626</v>
      </c>
      <c r="K100" s="20" t="s">
        <v>627</v>
      </c>
      <c r="L100" s="22" t="n">
        <v>2</v>
      </c>
      <c r="M100" s="22" t="s">
        <v>86</v>
      </c>
      <c r="N100" s="23" t="n">
        <f aca="false">INDEX(Assumptions!$B$13:$B$16,MATCH(M100,Assumptions!$A$13:$A$16,0))</f>
        <v>0.2</v>
      </c>
      <c r="O100" s="24" t="n">
        <f aca="false">L100*(1+N100)</f>
        <v>2.4</v>
      </c>
      <c r="P100" s="25" t="n">
        <f aca="false">O100*Assumptions!$B$3</f>
        <v>9.6</v>
      </c>
      <c r="Q100" s="26"/>
      <c r="R100" s="26" t="s">
        <v>106</v>
      </c>
      <c r="S100" s="20" t="s">
        <v>628</v>
      </c>
    </row>
    <row r="101" customFormat="false" ht="15" hidden="false" customHeight="true" outlineLevel="0" collapsed="false">
      <c r="A101" s="20" t="n">
        <v>100</v>
      </c>
      <c r="B101" s="20" t="s">
        <v>10</v>
      </c>
      <c r="C101" s="20" t="s">
        <v>57</v>
      </c>
      <c r="D101" s="20" t="s">
        <v>629</v>
      </c>
      <c r="E101" s="20" t="s">
        <v>630</v>
      </c>
      <c r="F101" s="20" t="s">
        <v>631</v>
      </c>
      <c r="G101" s="20" t="s">
        <v>17</v>
      </c>
      <c r="H101" s="20" t="s">
        <v>104</v>
      </c>
      <c r="I101" s="20" t="s">
        <v>32</v>
      </c>
      <c r="J101" s="20" t="s">
        <v>156</v>
      </c>
      <c r="K101" s="20" t="s">
        <v>632</v>
      </c>
      <c r="L101" s="22" t="n">
        <v>1</v>
      </c>
      <c r="M101" s="22" t="s">
        <v>86</v>
      </c>
      <c r="N101" s="23" t="n">
        <f aca="false">INDEX(Assumptions!$B$13:$B$16,MATCH(M101,Assumptions!$A$13:$A$16,0))</f>
        <v>0.2</v>
      </c>
      <c r="O101" s="24" t="n">
        <f aca="false">L101*(1+N101)</f>
        <v>1.2</v>
      </c>
      <c r="P101" s="25" t="n">
        <f aca="false">O101*Assumptions!$B$3</f>
        <v>4.8</v>
      </c>
      <c r="Q101" s="26"/>
      <c r="R101" s="26" t="s">
        <v>106</v>
      </c>
      <c r="S101" s="20" t="s">
        <v>633</v>
      </c>
    </row>
    <row r="102" customFormat="false" ht="15" hidden="false" customHeight="true" outlineLevel="0" collapsed="false">
      <c r="A102" s="20" t="n">
        <v>101</v>
      </c>
      <c r="B102" s="20" t="s">
        <v>10</v>
      </c>
      <c r="C102" s="20" t="s">
        <v>57</v>
      </c>
      <c r="D102" s="20" t="s">
        <v>634</v>
      </c>
      <c r="E102" s="20" t="s">
        <v>635</v>
      </c>
      <c r="F102" s="20" t="s">
        <v>636</v>
      </c>
      <c r="G102" s="20" t="s">
        <v>17</v>
      </c>
      <c r="H102" s="20" t="s">
        <v>566</v>
      </c>
      <c r="I102" s="20" t="s">
        <v>32</v>
      </c>
      <c r="J102" s="20" t="s">
        <v>104</v>
      </c>
      <c r="K102" s="20" t="s">
        <v>104</v>
      </c>
      <c r="L102" s="22" t="n">
        <v>6</v>
      </c>
      <c r="M102" s="22" t="s">
        <v>82</v>
      </c>
      <c r="N102" s="23" t="n">
        <f aca="false">INDEX(Assumptions!$B$13:$B$16,MATCH(M102,Assumptions!$A$13:$A$16,0))</f>
        <v>0</v>
      </c>
      <c r="O102" s="24" t="n">
        <f aca="false">L102*(1+N102)</f>
        <v>6</v>
      </c>
      <c r="P102" s="25" t="n">
        <f aca="false">O102*Assumptions!$B$3</f>
        <v>24</v>
      </c>
      <c r="Q102" s="26"/>
      <c r="R102" s="26" t="s">
        <v>106</v>
      </c>
      <c r="S102" s="20" t="s">
        <v>637</v>
      </c>
    </row>
    <row r="103" customFormat="false" ht="15" hidden="false" customHeight="true" outlineLevel="0" collapsed="false">
      <c r="A103" s="20" t="n">
        <v>102</v>
      </c>
      <c r="B103" s="20" t="s">
        <v>10</v>
      </c>
      <c r="C103" s="20" t="s">
        <v>57</v>
      </c>
      <c r="D103" s="20" t="s">
        <v>638</v>
      </c>
      <c r="E103" s="20" t="s">
        <v>639</v>
      </c>
      <c r="F103" s="20" t="s">
        <v>640</v>
      </c>
      <c r="G103" s="20" t="s">
        <v>20</v>
      </c>
      <c r="H103" s="20" t="s">
        <v>104</v>
      </c>
      <c r="I103" s="20" t="s">
        <v>32</v>
      </c>
      <c r="J103" s="20" t="s">
        <v>641</v>
      </c>
      <c r="K103" s="20" t="s">
        <v>524</v>
      </c>
      <c r="L103" s="22" t="n">
        <v>1</v>
      </c>
      <c r="M103" s="22" t="s">
        <v>88</v>
      </c>
      <c r="N103" s="23" t="n">
        <f aca="false">INDEX(Assumptions!$B$13:$B$16,MATCH(M103,Assumptions!$A$13:$A$16,0))</f>
        <v>0.35</v>
      </c>
      <c r="O103" s="24" t="n">
        <f aca="false">L103*(1+N103)</f>
        <v>1.35</v>
      </c>
      <c r="P103" s="25" t="n">
        <f aca="false">O103*Assumptions!$B$3</f>
        <v>5.4</v>
      </c>
      <c r="Q103" s="26"/>
      <c r="R103" s="26" t="s">
        <v>106</v>
      </c>
      <c r="S103" s="20" t="s">
        <v>642</v>
      </c>
    </row>
    <row r="104" customFormat="false" ht="15" hidden="false" customHeight="true" outlineLevel="0" collapsed="false">
      <c r="A104" s="20" t="n">
        <v>103</v>
      </c>
      <c r="B104" s="20" t="s">
        <v>10</v>
      </c>
      <c r="C104" s="20" t="s">
        <v>57</v>
      </c>
      <c r="D104" s="20" t="s">
        <v>19</v>
      </c>
      <c r="E104" s="20" t="s">
        <v>643</v>
      </c>
      <c r="F104" s="20" t="s">
        <v>644</v>
      </c>
      <c r="G104" s="20" t="s">
        <v>19</v>
      </c>
      <c r="H104" s="20" t="s">
        <v>608</v>
      </c>
      <c r="I104" s="20" t="s">
        <v>32</v>
      </c>
      <c r="J104" s="20" t="s">
        <v>104</v>
      </c>
      <c r="K104" s="20" t="s">
        <v>286</v>
      </c>
      <c r="L104" s="22" t="n">
        <v>2</v>
      </c>
      <c r="M104" s="22" t="s">
        <v>86</v>
      </c>
      <c r="N104" s="23" t="n">
        <f aca="false">INDEX(Assumptions!$B$13:$B$16,MATCH(M104,Assumptions!$A$13:$A$16,0))</f>
        <v>0.2</v>
      </c>
      <c r="O104" s="24" t="n">
        <f aca="false">L104*(1+N104)</f>
        <v>2.4</v>
      </c>
      <c r="P104" s="25" t="n">
        <f aca="false">O104*Assumptions!$B$3</f>
        <v>9.6</v>
      </c>
      <c r="Q104" s="26"/>
      <c r="R104" s="26" t="s">
        <v>106</v>
      </c>
      <c r="S104" s="20" t="s">
        <v>645</v>
      </c>
    </row>
    <row r="105" customFormat="false" ht="15" hidden="false" customHeight="true" outlineLevel="0" collapsed="false">
      <c r="A105" s="20" t="n">
        <v>104</v>
      </c>
      <c r="B105" s="20" t="s">
        <v>10</v>
      </c>
      <c r="C105" s="20" t="s">
        <v>57</v>
      </c>
      <c r="D105" s="20" t="s">
        <v>646</v>
      </c>
      <c r="E105" s="20" t="s">
        <v>647</v>
      </c>
      <c r="F105" s="20" t="s">
        <v>648</v>
      </c>
      <c r="G105" s="20" t="s">
        <v>20</v>
      </c>
      <c r="H105" s="20" t="s">
        <v>596</v>
      </c>
      <c r="I105" s="20" t="s">
        <v>32</v>
      </c>
      <c r="J105" s="20" t="s">
        <v>104</v>
      </c>
      <c r="K105" s="20" t="s">
        <v>370</v>
      </c>
      <c r="L105" s="22" t="n">
        <v>2</v>
      </c>
      <c r="M105" s="22" t="s">
        <v>86</v>
      </c>
      <c r="N105" s="23" t="n">
        <f aca="false">INDEX(Assumptions!$B$13:$B$16,MATCH(M105,Assumptions!$A$13:$A$16,0))</f>
        <v>0.2</v>
      </c>
      <c r="O105" s="24" t="n">
        <f aca="false">L105*(1+N105)</f>
        <v>2.4</v>
      </c>
      <c r="P105" s="25" t="n">
        <f aca="false">O105*Assumptions!$B$3</f>
        <v>9.6</v>
      </c>
      <c r="Q105" s="26"/>
      <c r="R105" s="26" t="s">
        <v>106</v>
      </c>
      <c r="S105" s="20" t="s">
        <v>649</v>
      </c>
    </row>
    <row r="106" customFormat="false" ht="15" hidden="false" customHeight="true" outlineLevel="0" collapsed="false">
      <c r="A106" s="27" t="n">
        <v>105</v>
      </c>
      <c r="B106" s="27" t="s">
        <v>11</v>
      </c>
      <c r="C106" s="28" t="s">
        <v>650</v>
      </c>
      <c r="D106" s="27" t="s">
        <v>651</v>
      </c>
      <c r="E106" s="27" t="s">
        <v>652</v>
      </c>
      <c r="F106" s="27" t="s">
        <v>653</v>
      </c>
      <c r="G106" s="27" t="s">
        <v>654</v>
      </c>
      <c r="H106" s="27" t="s">
        <v>10</v>
      </c>
      <c r="I106" s="27" t="s">
        <v>655</v>
      </c>
      <c r="J106" s="27" t="s">
        <v>656</v>
      </c>
      <c r="K106" s="27" t="s">
        <v>657</v>
      </c>
      <c r="L106" s="29" t="n">
        <v>6</v>
      </c>
      <c r="M106" s="29" t="s">
        <v>86</v>
      </c>
      <c r="N106" s="30" t="n">
        <f aca="false">INDEX(Assumptions!$B$13:$B$16,MATCH(M106,Assumptions!$A$13:$A$16,0))</f>
        <v>0.2</v>
      </c>
      <c r="O106" s="31" t="n">
        <f aca="false">L106*(1+N106)</f>
        <v>7.2</v>
      </c>
      <c r="P106" s="32" t="n">
        <f aca="false">O106*Assumptions!$B$3</f>
        <v>28.8</v>
      </c>
      <c r="Q106" s="27"/>
      <c r="R106" s="27" t="s">
        <v>106</v>
      </c>
      <c r="S106" s="27" t="s">
        <v>658</v>
      </c>
    </row>
    <row r="107" customFormat="false" ht="15" hidden="false" customHeight="true" outlineLevel="0" collapsed="false">
      <c r="A107" s="27" t="n">
        <v>106</v>
      </c>
      <c r="B107" s="27" t="s">
        <v>11</v>
      </c>
      <c r="C107" s="27" t="s">
        <v>650</v>
      </c>
      <c r="D107" s="27" t="s">
        <v>651</v>
      </c>
      <c r="E107" s="27" t="s">
        <v>659</v>
      </c>
      <c r="F107" s="27" t="s">
        <v>660</v>
      </c>
      <c r="G107" s="27" t="s">
        <v>654</v>
      </c>
      <c r="H107" s="27" t="s">
        <v>10</v>
      </c>
      <c r="I107" s="27" t="s">
        <v>655</v>
      </c>
      <c r="J107" s="27" t="s">
        <v>661</v>
      </c>
      <c r="K107" s="27" t="s">
        <v>657</v>
      </c>
      <c r="L107" s="29" t="n">
        <v>6</v>
      </c>
      <c r="M107" s="29" t="s">
        <v>86</v>
      </c>
      <c r="N107" s="30" t="n">
        <f aca="false">INDEX(Assumptions!$B$13:$B$16,MATCH(M107,Assumptions!$A$13:$A$16,0))</f>
        <v>0.2</v>
      </c>
      <c r="O107" s="31" t="n">
        <f aca="false">L107*(1+N107)</f>
        <v>7.2</v>
      </c>
      <c r="P107" s="32" t="n">
        <f aca="false">O107*Assumptions!$B$3</f>
        <v>28.8</v>
      </c>
      <c r="Q107" s="27"/>
      <c r="R107" s="27" t="s">
        <v>106</v>
      </c>
      <c r="S107" s="27" t="s">
        <v>658</v>
      </c>
    </row>
    <row r="108" customFormat="false" ht="15" hidden="false" customHeight="true" outlineLevel="0" collapsed="false">
      <c r="A108" s="27" t="n">
        <v>107</v>
      </c>
      <c r="B108" s="27" t="s">
        <v>11</v>
      </c>
      <c r="C108" s="27" t="s">
        <v>650</v>
      </c>
      <c r="D108" s="27" t="s">
        <v>651</v>
      </c>
      <c r="E108" s="27" t="s">
        <v>662</v>
      </c>
      <c r="F108" s="27" t="s">
        <v>663</v>
      </c>
      <c r="G108" s="27" t="s">
        <v>654</v>
      </c>
      <c r="H108" s="27" t="s">
        <v>10</v>
      </c>
      <c r="I108" s="27" t="s">
        <v>655</v>
      </c>
      <c r="J108" s="27" t="s">
        <v>664</v>
      </c>
      <c r="K108" s="27" t="s">
        <v>657</v>
      </c>
      <c r="L108" s="29" t="n">
        <v>4</v>
      </c>
      <c r="M108" s="29" t="s">
        <v>86</v>
      </c>
      <c r="N108" s="30" t="n">
        <f aca="false">INDEX(Assumptions!$B$13:$B$16,MATCH(M108,Assumptions!$A$13:$A$16,0))</f>
        <v>0.2</v>
      </c>
      <c r="O108" s="31" t="n">
        <f aca="false">L108*(1+N108)</f>
        <v>4.8</v>
      </c>
      <c r="P108" s="32" t="n">
        <f aca="false">O108*Assumptions!$B$3</f>
        <v>19.2</v>
      </c>
      <c r="Q108" s="27"/>
      <c r="R108" s="27" t="s">
        <v>106</v>
      </c>
      <c r="S108" s="27" t="s">
        <v>658</v>
      </c>
    </row>
    <row r="109" customFormat="false" ht="15" hidden="false" customHeight="true" outlineLevel="0" collapsed="false">
      <c r="A109" s="27" t="n">
        <v>108</v>
      </c>
      <c r="B109" s="27" t="s">
        <v>11</v>
      </c>
      <c r="C109" s="27" t="s">
        <v>650</v>
      </c>
      <c r="D109" s="27" t="s">
        <v>651</v>
      </c>
      <c r="E109" s="27" t="s">
        <v>665</v>
      </c>
      <c r="F109" s="27" t="s">
        <v>666</v>
      </c>
      <c r="G109" s="27" t="s">
        <v>654</v>
      </c>
      <c r="H109" s="27" t="s">
        <v>10</v>
      </c>
      <c r="I109" s="27" t="s">
        <v>655</v>
      </c>
      <c r="J109" s="27" t="s">
        <v>667</v>
      </c>
      <c r="K109" s="27" t="s">
        <v>657</v>
      </c>
      <c r="L109" s="29" t="n">
        <v>2</v>
      </c>
      <c r="M109" s="29" t="s">
        <v>86</v>
      </c>
      <c r="N109" s="30" t="n">
        <f aca="false">INDEX(Assumptions!$B$13:$B$16,MATCH(M109,Assumptions!$A$13:$A$16,0))</f>
        <v>0.2</v>
      </c>
      <c r="O109" s="31" t="n">
        <f aca="false">L109*(1+N109)</f>
        <v>2.4</v>
      </c>
      <c r="P109" s="32" t="n">
        <f aca="false">O109*Assumptions!$B$3</f>
        <v>9.6</v>
      </c>
      <c r="Q109" s="27"/>
      <c r="R109" s="27" t="s">
        <v>106</v>
      </c>
      <c r="S109" s="27" t="s">
        <v>658</v>
      </c>
    </row>
    <row r="110" customFormat="false" ht="15" hidden="false" customHeight="true" outlineLevel="0" collapsed="false">
      <c r="A110" s="27" t="n">
        <v>109</v>
      </c>
      <c r="B110" s="27" t="s">
        <v>11</v>
      </c>
      <c r="C110" s="27" t="s">
        <v>650</v>
      </c>
      <c r="D110" s="27" t="s">
        <v>651</v>
      </c>
      <c r="E110" s="27" t="s">
        <v>668</v>
      </c>
      <c r="F110" s="27" t="s">
        <v>669</v>
      </c>
      <c r="G110" s="27" t="s">
        <v>654</v>
      </c>
      <c r="H110" s="27" t="s">
        <v>10</v>
      </c>
      <c r="I110" s="27" t="s">
        <v>655</v>
      </c>
      <c r="J110" s="27" t="s">
        <v>670</v>
      </c>
      <c r="K110" s="27" t="s">
        <v>657</v>
      </c>
      <c r="L110" s="29" t="n">
        <v>5</v>
      </c>
      <c r="M110" s="29" t="s">
        <v>86</v>
      </c>
      <c r="N110" s="30" t="n">
        <f aca="false">INDEX(Assumptions!$B$13:$B$16,MATCH(M110,Assumptions!$A$13:$A$16,0))</f>
        <v>0.2</v>
      </c>
      <c r="O110" s="31" t="n">
        <f aca="false">L110*(1+N110)</f>
        <v>6</v>
      </c>
      <c r="P110" s="32" t="n">
        <f aca="false">O110*Assumptions!$B$3</f>
        <v>24</v>
      </c>
      <c r="Q110" s="27"/>
      <c r="R110" s="27" t="s">
        <v>106</v>
      </c>
      <c r="S110" s="27" t="s">
        <v>658</v>
      </c>
    </row>
    <row r="111" customFormat="false" ht="15" hidden="false" customHeight="true" outlineLevel="0" collapsed="false">
      <c r="A111" s="27" t="n">
        <v>110</v>
      </c>
      <c r="B111" s="27" t="s">
        <v>11</v>
      </c>
      <c r="C111" s="27" t="s">
        <v>650</v>
      </c>
      <c r="D111" s="27" t="s">
        <v>651</v>
      </c>
      <c r="E111" s="27" t="s">
        <v>671</v>
      </c>
      <c r="F111" s="27" t="s">
        <v>672</v>
      </c>
      <c r="G111" s="27" t="s">
        <v>654</v>
      </c>
      <c r="H111" s="27" t="s">
        <v>10</v>
      </c>
      <c r="I111" s="27" t="s">
        <v>655</v>
      </c>
      <c r="J111" s="27" t="s">
        <v>673</v>
      </c>
      <c r="K111" s="27" t="s">
        <v>657</v>
      </c>
      <c r="L111" s="29" t="n">
        <v>3</v>
      </c>
      <c r="M111" s="29" t="s">
        <v>86</v>
      </c>
      <c r="N111" s="30" t="n">
        <f aca="false">INDEX(Assumptions!$B$13:$B$16,MATCH(M111,Assumptions!$A$13:$A$16,0))</f>
        <v>0.2</v>
      </c>
      <c r="O111" s="31" t="n">
        <f aca="false">L111*(1+N111)</f>
        <v>3.6</v>
      </c>
      <c r="P111" s="32" t="n">
        <f aca="false">O111*Assumptions!$B$3</f>
        <v>14.4</v>
      </c>
      <c r="Q111" s="27"/>
      <c r="R111" s="27" t="s">
        <v>106</v>
      </c>
      <c r="S111" s="27" t="s">
        <v>658</v>
      </c>
    </row>
    <row r="112" customFormat="false" ht="15" hidden="false" customHeight="true" outlineLevel="0" collapsed="false">
      <c r="A112" s="27" t="n">
        <v>111</v>
      </c>
      <c r="B112" s="27" t="s">
        <v>11</v>
      </c>
      <c r="C112" s="27" t="s">
        <v>650</v>
      </c>
      <c r="D112" s="27" t="s">
        <v>651</v>
      </c>
      <c r="E112" s="27" t="s">
        <v>674</v>
      </c>
      <c r="F112" s="27" t="s">
        <v>675</v>
      </c>
      <c r="G112" s="27" t="s">
        <v>654</v>
      </c>
      <c r="H112" s="27" t="s">
        <v>10</v>
      </c>
      <c r="I112" s="27" t="s">
        <v>655</v>
      </c>
      <c r="J112" s="27" t="s">
        <v>641</v>
      </c>
      <c r="K112" s="27" t="s">
        <v>657</v>
      </c>
      <c r="L112" s="29" t="n">
        <v>6.5</v>
      </c>
      <c r="M112" s="29" t="s">
        <v>86</v>
      </c>
      <c r="N112" s="30" t="n">
        <f aca="false">INDEX(Assumptions!$B$13:$B$16,MATCH(M112,Assumptions!$A$13:$A$16,0))</f>
        <v>0.2</v>
      </c>
      <c r="O112" s="31" t="n">
        <f aca="false">L112*(1+N112)</f>
        <v>7.8</v>
      </c>
      <c r="P112" s="32" t="n">
        <f aca="false">O112*Assumptions!$B$3</f>
        <v>31.2</v>
      </c>
      <c r="Q112" s="27"/>
      <c r="R112" s="27" t="s">
        <v>106</v>
      </c>
      <c r="S112" s="27" t="s">
        <v>658</v>
      </c>
    </row>
    <row r="113" customFormat="false" ht="15" hidden="false" customHeight="true" outlineLevel="0" collapsed="false">
      <c r="A113" s="27" t="n">
        <v>112</v>
      </c>
      <c r="B113" s="27" t="s">
        <v>11</v>
      </c>
      <c r="C113" s="27" t="s">
        <v>650</v>
      </c>
      <c r="D113" s="27" t="s">
        <v>651</v>
      </c>
      <c r="E113" s="27" t="s">
        <v>676</v>
      </c>
      <c r="F113" s="27" t="s">
        <v>677</v>
      </c>
      <c r="G113" s="27" t="s">
        <v>654</v>
      </c>
      <c r="H113" s="27" t="s">
        <v>10</v>
      </c>
      <c r="I113" s="27" t="s">
        <v>655</v>
      </c>
      <c r="J113" s="27" t="s">
        <v>678</v>
      </c>
      <c r="K113" s="27" t="s">
        <v>657</v>
      </c>
      <c r="L113" s="29" t="n">
        <v>2.5</v>
      </c>
      <c r="M113" s="29" t="s">
        <v>86</v>
      </c>
      <c r="N113" s="30" t="n">
        <f aca="false">INDEX(Assumptions!$B$13:$B$16,MATCH(M113,Assumptions!$A$13:$A$16,0))</f>
        <v>0.2</v>
      </c>
      <c r="O113" s="31" t="n">
        <f aca="false">L113*(1+N113)</f>
        <v>3</v>
      </c>
      <c r="P113" s="32" t="n">
        <f aca="false">O113*Assumptions!$B$3</f>
        <v>12</v>
      </c>
      <c r="Q113" s="27"/>
      <c r="R113" s="27" t="s">
        <v>106</v>
      </c>
      <c r="S113" s="27" t="s">
        <v>658</v>
      </c>
    </row>
    <row r="114" customFormat="false" ht="15" hidden="false" customHeight="true" outlineLevel="0" collapsed="false">
      <c r="A114" s="27" t="n">
        <v>113</v>
      </c>
      <c r="B114" s="27" t="s">
        <v>11</v>
      </c>
      <c r="C114" s="27" t="s">
        <v>650</v>
      </c>
      <c r="D114" s="27" t="s">
        <v>651</v>
      </c>
      <c r="E114" s="27" t="s">
        <v>679</v>
      </c>
      <c r="F114" s="27" t="s">
        <v>680</v>
      </c>
      <c r="G114" s="27" t="s">
        <v>654</v>
      </c>
      <c r="H114" s="27" t="s">
        <v>10</v>
      </c>
      <c r="I114" s="27" t="s">
        <v>655</v>
      </c>
      <c r="J114" s="27" t="s">
        <v>681</v>
      </c>
      <c r="K114" s="27" t="s">
        <v>657</v>
      </c>
      <c r="L114" s="29" t="n">
        <v>3</v>
      </c>
      <c r="M114" s="29" t="s">
        <v>86</v>
      </c>
      <c r="N114" s="30" t="n">
        <f aca="false">INDEX(Assumptions!$B$13:$B$16,MATCH(M114,Assumptions!$A$13:$A$16,0))</f>
        <v>0.2</v>
      </c>
      <c r="O114" s="31" t="n">
        <f aca="false">L114*(1+N114)</f>
        <v>3.6</v>
      </c>
      <c r="P114" s="32" t="n">
        <f aca="false">O114*Assumptions!$B$3</f>
        <v>14.4</v>
      </c>
      <c r="Q114" s="27"/>
      <c r="R114" s="27" t="s">
        <v>106</v>
      </c>
      <c r="S114" s="27" t="s">
        <v>658</v>
      </c>
    </row>
    <row r="115" customFormat="false" ht="15" hidden="false" customHeight="true" outlineLevel="0" collapsed="false">
      <c r="A115" s="27" t="n">
        <v>114</v>
      </c>
      <c r="B115" s="27" t="s">
        <v>11</v>
      </c>
      <c r="C115" s="27" t="s">
        <v>650</v>
      </c>
      <c r="D115" s="27" t="s">
        <v>651</v>
      </c>
      <c r="E115" s="27" t="s">
        <v>682</v>
      </c>
      <c r="F115" s="27" t="s">
        <v>683</v>
      </c>
      <c r="G115" s="27" t="s">
        <v>654</v>
      </c>
      <c r="H115" s="27" t="s">
        <v>10</v>
      </c>
      <c r="I115" s="27" t="s">
        <v>655</v>
      </c>
      <c r="J115" s="27" t="s">
        <v>684</v>
      </c>
      <c r="K115" s="27" t="s">
        <v>657</v>
      </c>
      <c r="L115" s="29" t="n">
        <v>2</v>
      </c>
      <c r="M115" s="29" t="s">
        <v>86</v>
      </c>
      <c r="N115" s="30" t="n">
        <f aca="false">INDEX(Assumptions!$B$13:$B$16,MATCH(M115,Assumptions!$A$13:$A$16,0))</f>
        <v>0.2</v>
      </c>
      <c r="O115" s="31" t="n">
        <f aca="false">L115*(1+N115)</f>
        <v>2.4</v>
      </c>
      <c r="P115" s="32" t="n">
        <f aca="false">O115*Assumptions!$B$3</f>
        <v>9.6</v>
      </c>
      <c r="Q115" s="27"/>
      <c r="R115" s="27" t="s">
        <v>106</v>
      </c>
      <c r="S115" s="27" t="s">
        <v>658</v>
      </c>
    </row>
    <row r="116" customFormat="false" ht="15" hidden="false" customHeight="false" outlineLevel="0" collapsed="false">
      <c r="A116" s="27" t="n">
        <v>115</v>
      </c>
      <c r="B116" s="27" t="s">
        <v>11</v>
      </c>
      <c r="C116" s="28" t="s">
        <v>685</v>
      </c>
      <c r="D116" s="27" t="s">
        <v>651</v>
      </c>
      <c r="E116" s="27" t="s">
        <v>686</v>
      </c>
      <c r="F116" s="27" t="s">
        <v>687</v>
      </c>
      <c r="G116" s="27" t="s">
        <v>654</v>
      </c>
      <c r="H116" s="27" t="s">
        <v>10</v>
      </c>
      <c r="I116" s="27" t="s">
        <v>688</v>
      </c>
      <c r="J116" s="27" t="s">
        <v>689</v>
      </c>
      <c r="K116" s="27" t="s">
        <v>657</v>
      </c>
      <c r="L116" s="29" t="n">
        <v>5</v>
      </c>
      <c r="M116" s="29" t="s">
        <v>86</v>
      </c>
      <c r="N116" s="30" t="n">
        <f aca="false">INDEX(Assumptions!$B$13:$B$16,MATCH(M116,Assumptions!$A$13:$A$16,0))</f>
        <v>0.2</v>
      </c>
      <c r="O116" s="31" t="n">
        <f aca="false">L116*(1+N116)</f>
        <v>6</v>
      </c>
      <c r="P116" s="32" t="n">
        <f aca="false">O116*Assumptions!$B$3</f>
        <v>24</v>
      </c>
      <c r="Q116" s="27"/>
      <c r="R116" s="27" t="s">
        <v>106</v>
      </c>
      <c r="S116" s="27" t="s">
        <v>658</v>
      </c>
    </row>
    <row r="117" customFormat="false" ht="15" hidden="false" customHeight="false" outlineLevel="0" collapsed="false">
      <c r="A117" s="27" t="n">
        <v>116</v>
      </c>
      <c r="B117" s="27" t="s">
        <v>11</v>
      </c>
      <c r="C117" s="27" t="s">
        <v>685</v>
      </c>
      <c r="D117" s="27" t="s">
        <v>651</v>
      </c>
      <c r="E117" s="27" t="s">
        <v>690</v>
      </c>
      <c r="F117" s="27" t="s">
        <v>691</v>
      </c>
      <c r="G117" s="27" t="s">
        <v>654</v>
      </c>
      <c r="H117" s="27" t="s">
        <v>10</v>
      </c>
      <c r="I117" s="27" t="s">
        <v>688</v>
      </c>
      <c r="J117" s="27" t="s">
        <v>692</v>
      </c>
      <c r="K117" s="27" t="s">
        <v>657</v>
      </c>
      <c r="L117" s="29" t="n">
        <v>4</v>
      </c>
      <c r="M117" s="29" t="s">
        <v>86</v>
      </c>
      <c r="N117" s="30" t="n">
        <f aca="false">INDEX(Assumptions!$B$13:$B$16,MATCH(M117,Assumptions!$A$13:$A$16,0))</f>
        <v>0.2</v>
      </c>
      <c r="O117" s="31" t="n">
        <f aca="false">L117*(1+N117)</f>
        <v>4.8</v>
      </c>
      <c r="P117" s="32" t="n">
        <f aca="false">O117*Assumptions!$B$3</f>
        <v>19.2</v>
      </c>
      <c r="Q117" s="27"/>
      <c r="R117" s="27" t="s">
        <v>106</v>
      </c>
      <c r="S117" s="27" t="s">
        <v>658</v>
      </c>
    </row>
    <row r="118" customFormat="false" ht="15" hidden="false" customHeight="false" outlineLevel="0" collapsed="false">
      <c r="A118" s="27" t="n">
        <v>117</v>
      </c>
      <c r="B118" s="27" t="s">
        <v>11</v>
      </c>
      <c r="C118" s="27" t="s">
        <v>685</v>
      </c>
      <c r="D118" s="27" t="s">
        <v>651</v>
      </c>
      <c r="E118" s="27" t="s">
        <v>693</v>
      </c>
      <c r="F118" s="27" t="s">
        <v>694</v>
      </c>
      <c r="G118" s="27" t="s">
        <v>654</v>
      </c>
      <c r="H118" s="27" t="s">
        <v>10</v>
      </c>
      <c r="I118" s="27" t="s">
        <v>688</v>
      </c>
      <c r="J118" s="27" t="s">
        <v>695</v>
      </c>
      <c r="K118" s="27" t="s">
        <v>657</v>
      </c>
      <c r="L118" s="29" t="n">
        <v>10</v>
      </c>
      <c r="M118" s="29" t="s">
        <v>86</v>
      </c>
      <c r="N118" s="30" t="n">
        <f aca="false">INDEX(Assumptions!$B$13:$B$16,MATCH(M118,Assumptions!$A$13:$A$16,0))</f>
        <v>0.2</v>
      </c>
      <c r="O118" s="31" t="n">
        <f aca="false">L118*(1+N118)</f>
        <v>12</v>
      </c>
      <c r="P118" s="32" t="n">
        <f aca="false">O118*Assumptions!$B$3</f>
        <v>48</v>
      </c>
      <c r="Q118" s="27"/>
      <c r="R118" s="27" t="s">
        <v>106</v>
      </c>
      <c r="S118" s="27" t="s">
        <v>658</v>
      </c>
    </row>
    <row r="119" customFormat="false" ht="15" hidden="false" customHeight="false" outlineLevel="0" collapsed="false">
      <c r="A119" s="27" t="n">
        <v>118</v>
      </c>
      <c r="B119" s="27" t="s">
        <v>11</v>
      </c>
      <c r="C119" s="27" t="s">
        <v>685</v>
      </c>
      <c r="D119" s="27" t="s">
        <v>651</v>
      </c>
      <c r="E119" s="27" t="s">
        <v>696</v>
      </c>
      <c r="F119" s="27" t="s">
        <v>697</v>
      </c>
      <c r="G119" s="27" t="s">
        <v>654</v>
      </c>
      <c r="H119" s="27" t="s">
        <v>10</v>
      </c>
      <c r="I119" s="27" t="s">
        <v>688</v>
      </c>
      <c r="J119" s="27" t="s">
        <v>698</v>
      </c>
      <c r="K119" s="27" t="s">
        <v>657</v>
      </c>
      <c r="L119" s="29" t="n">
        <v>3</v>
      </c>
      <c r="M119" s="29" t="s">
        <v>86</v>
      </c>
      <c r="N119" s="30" t="n">
        <f aca="false">INDEX(Assumptions!$B$13:$B$16,MATCH(M119,Assumptions!$A$13:$A$16,0))</f>
        <v>0.2</v>
      </c>
      <c r="O119" s="31" t="n">
        <f aca="false">L119*(1+N119)</f>
        <v>3.6</v>
      </c>
      <c r="P119" s="32" t="n">
        <f aca="false">O119*Assumptions!$B$3</f>
        <v>14.4</v>
      </c>
      <c r="Q119" s="27"/>
      <c r="R119" s="27" t="s">
        <v>106</v>
      </c>
      <c r="S119" s="27" t="s">
        <v>658</v>
      </c>
    </row>
    <row r="120" customFormat="false" ht="15" hidden="false" customHeight="false" outlineLevel="0" collapsed="false">
      <c r="A120" s="27" t="n">
        <v>119</v>
      </c>
      <c r="B120" s="27" t="s">
        <v>11</v>
      </c>
      <c r="C120" s="27" t="s">
        <v>685</v>
      </c>
      <c r="D120" s="27" t="s">
        <v>651</v>
      </c>
      <c r="E120" s="27" t="s">
        <v>699</v>
      </c>
      <c r="F120" s="27" t="s">
        <v>700</v>
      </c>
      <c r="G120" s="27" t="s">
        <v>654</v>
      </c>
      <c r="H120" s="27" t="s">
        <v>10</v>
      </c>
      <c r="I120" s="27" t="s">
        <v>688</v>
      </c>
      <c r="J120" s="27" t="s">
        <v>701</v>
      </c>
      <c r="K120" s="27" t="s">
        <v>657</v>
      </c>
      <c r="L120" s="29" t="n">
        <v>6</v>
      </c>
      <c r="M120" s="29" t="s">
        <v>86</v>
      </c>
      <c r="N120" s="30" t="n">
        <f aca="false">INDEX(Assumptions!$B$13:$B$16,MATCH(M120,Assumptions!$A$13:$A$16,0))</f>
        <v>0.2</v>
      </c>
      <c r="O120" s="31" t="n">
        <f aca="false">L120*(1+N120)</f>
        <v>7.2</v>
      </c>
      <c r="P120" s="32" t="n">
        <f aca="false">O120*Assumptions!$B$3</f>
        <v>28.8</v>
      </c>
      <c r="Q120" s="27"/>
      <c r="R120" s="27" t="s">
        <v>106</v>
      </c>
      <c r="S120" s="27" t="s">
        <v>658</v>
      </c>
    </row>
    <row r="121" customFormat="false" ht="15" hidden="false" customHeight="false" outlineLevel="0" collapsed="false">
      <c r="A121" s="27" t="n">
        <v>120</v>
      </c>
      <c r="B121" s="27" t="s">
        <v>11</v>
      </c>
      <c r="C121" s="28" t="s">
        <v>702</v>
      </c>
      <c r="D121" s="27" t="s">
        <v>651</v>
      </c>
      <c r="E121" s="27" t="s">
        <v>703</v>
      </c>
      <c r="F121" s="27" t="s">
        <v>704</v>
      </c>
      <c r="G121" s="27" t="s">
        <v>654</v>
      </c>
      <c r="H121" s="27" t="s">
        <v>10</v>
      </c>
      <c r="I121" s="27" t="s">
        <v>705</v>
      </c>
      <c r="J121" s="27" t="s">
        <v>706</v>
      </c>
      <c r="K121" s="27" t="s">
        <v>657</v>
      </c>
      <c r="L121" s="29" t="n">
        <v>20</v>
      </c>
      <c r="M121" s="29" t="s">
        <v>86</v>
      </c>
      <c r="N121" s="30" t="n">
        <f aca="false">INDEX(Assumptions!$B$13:$B$16,MATCH(M121,Assumptions!$A$13:$A$16,0))</f>
        <v>0.2</v>
      </c>
      <c r="O121" s="31" t="n">
        <f aca="false">L121*(1+N121)</f>
        <v>24</v>
      </c>
      <c r="P121" s="32" t="n">
        <f aca="false">O121*Assumptions!$B$3</f>
        <v>96</v>
      </c>
      <c r="Q121" s="27"/>
      <c r="R121" s="27" t="s">
        <v>106</v>
      </c>
      <c r="S121" s="27" t="s">
        <v>658</v>
      </c>
    </row>
    <row r="122" customFormat="false" ht="15" hidden="false" customHeight="false" outlineLevel="0" collapsed="false">
      <c r="A122" s="27" t="n">
        <v>121</v>
      </c>
      <c r="B122" s="27" t="s">
        <v>11</v>
      </c>
      <c r="C122" s="27" t="s">
        <v>702</v>
      </c>
      <c r="D122" s="27" t="s">
        <v>651</v>
      </c>
      <c r="E122" s="27" t="s">
        <v>707</v>
      </c>
      <c r="F122" s="27" t="s">
        <v>708</v>
      </c>
      <c r="G122" s="27" t="s">
        <v>654</v>
      </c>
      <c r="H122" s="27" t="s">
        <v>10</v>
      </c>
      <c r="I122" s="27" t="s">
        <v>705</v>
      </c>
      <c r="J122" s="27" t="s">
        <v>709</v>
      </c>
      <c r="K122" s="27" t="s">
        <v>657</v>
      </c>
      <c r="L122" s="29" t="n">
        <v>8</v>
      </c>
      <c r="M122" s="29" t="s">
        <v>86</v>
      </c>
      <c r="N122" s="30" t="n">
        <f aca="false">INDEX(Assumptions!$B$13:$B$16,MATCH(M122,Assumptions!$A$13:$A$16,0))</f>
        <v>0.2</v>
      </c>
      <c r="O122" s="31" t="n">
        <f aca="false">L122*(1+N122)</f>
        <v>9.6</v>
      </c>
      <c r="P122" s="32" t="n">
        <f aca="false">O122*Assumptions!$B$3</f>
        <v>38.4</v>
      </c>
      <c r="Q122" s="27"/>
      <c r="R122" s="27" t="s">
        <v>106</v>
      </c>
      <c r="S122" s="27" t="s">
        <v>658</v>
      </c>
    </row>
  </sheetData>
  <autoFilter ref="A1:S122"/>
  <dataValidations count="3">
    <dataValidation allowBlank="true" errorStyle="stop" operator="between" showDropDown="false" showErrorMessage="false" showInputMessage="false" sqref="R2:R122" type="list">
      <formula1>"Not started,In progress,In review,Done,Blocked"</formula1>
      <formula2>0</formula2>
    </dataValidation>
    <dataValidation allowBlank="false" errorStyle="stop" operator="between" showDropDown="false" showErrorMessage="false" showInputMessage="false" sqref="M2:M122" type="list">
      <formula1>"N,L,M,H"</formula1>
      <formula2>0</formula2>
    </dataValidation>
    <dataValidation allowBlank="false" errorStyle="stop" operator="between" showDropDown="false" showErrorMessage="false" showInputMessage="false" sqref="G2:G122" type="list">
      <formula1>"BE,FE,QA,PM,BE/FE"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40"/>
  </cols>
  <sheetData>
    <row r="1" customFormat="false" ht="15.75" hidden="false" customHeight="true" outlineLevel="0" collapsed="false">
      <c r="A1" s="14" t="s">
        <v>710</v>
      </c>
    </row>
    <row r="2" customFormat="false" ht="15" hidden="false" customHeight="true" outlineLevel="0" collapsed="false">
      <c r="A2" s="33"/>
    </row>
    <row r="3" customFormat="false" ht="15" hidden="false" customHeight="true" outlineLevel="0" collapsed="false">
      <c r="A3" s="33" t="s">
        <v>711</v>
      </c>
    </row>
    <row r="4" customFormat="false" ht="15" hidden="false" customHeight="true" outlineLevel="0" collapsed="false">
      <c r="A4" s="33" t="s">
        <v>712</v>
      </c>
    </row>
    <row r="5" customFormat="false" ht="15" hidden="false" customHeight="true" outlineLevel="0" collapsed="false">
      <c r="A5" s="33" t="s">
        <v>713</v>
      </c>
    </row>
    <row r="6" customFormat="false" ht="15" hidden="false" customHeight="true" outlineLevel="0" collapsed="false">
      <c r="A6" s="33" t="s">
        <v>714</v>
      </c>
    </row>
    <row r="7" customFormat="false" ht="15" hidden="false" customHeight="true" outlineLevel="0" collapsed="false">
      <c r="A7" s="33" t="s">
        <v>715</v>
      </c>
    </row>
    <row r="8" customFormat="false" ht="15" hidden="false" customHeight="true" outlineLevel="0" collapsed="false">
      <c r="A8" s="33" t="s">
        <v>716</v>
      </c>
    </row>
    <row r="9" customFormat="false" ht="15" hidden="false" customHeight="true" outlineLevel="0" collapsed="false">
      <c r="A9" s="33"/>
    </row>
    <row r="10" customFormat="false" ht="15" hidden="false" customHeight="true" outlineLevel="0" collapsed="false">
      <c r="A10" s="33" t="s">
        <v>717</v>
      </c>
    </row>
    <row r="11" customFormat="false" ht="15" hidden="false" customHeight="true" outlineLevel="0" collapsed="false">
      <c r="A11" s="33" t="s">
        <v>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LibreOffice_project/6673c99d96549ce65101be79fa29dd8a8e58eb52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2026-10-23T19:11:00Z</dcterms:created>
  <dc:creator>openpyxl</dc:creator>
  <dc:description/>
  <dc:language>en-US</dc:language>
  <cp:lastModifiedBy/>
  <dcterms:modified xsi:type="dcterms:W3CDTF">2026-10-23T21:22:50Z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